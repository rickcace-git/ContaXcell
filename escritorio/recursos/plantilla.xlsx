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" sheetId="2" state="visible" r:id="rId2"/>
    <sheet name="Presupuesto" sheetId="3" state="visible" r:id="rId3"/>
    <sheet name="Inversiones" sheetId="4" state="visible" r:id="rId4"/>
  </sheets>
  <definedNames>
    <definedName name="_xlnm._FilterDatabase" localSheetId="0" hidden="1">'Movimientos'!$A$1:$H$501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MMMM YYYY"/>
    <numFmt numFmtId="167" formatCode="#,##0.00&quot; €&quot;"/>
    <numFmt numFmtId="168" formatCode="0.0%"/>
    <numFmt numFmtId="169" formatCode="MMMM"/>
    <numFmt numFmtId="170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color rgb="00595959"/>
      <sz val="11"/>
    </font>
    <font>
      <b val="1"/>
      <color rgb="00000000"/>
      <sz val="11"/>
    </font>
    <font>
      <i val="1"/>
      <color rgb="00808080"/>
      <sz val="11"/>
    </font>
    <font>
      <color rgb="00404040"/>
      <sz val="11"/>
    </font>
    <font>
      <b val="1"/>
      <color rgb="00833C00"/>
      <sz val="11"/>
    </font>
    <font>
      <i val="1"/>
      <color rgb="00595959"/>
      <sz val="11"/>
    </font>
    <font>
      <i val="1"/>
      <color rgb="00C00000"/>
      <sz val="11"/>
    </font>
    <font>
      <b val="1"/>
      <color rgb="00808080"/>
      <sz val="11"/>
    </font>
    <font>
      <color rgb="00808080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5C8A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DCE6F1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167" fontId="0" fillId="3" borderId="1" pivotButton="0" quotePrefix="0" xfId="0"/>
    <xf numFmtId="167" fontId="3" fillId="3" borderId="1" pivotButton="0" quotePrefix="0" xfId="0"/>
    <xf numFmtId="0" fontId="3" fillId="0" borderId="0" pivotButton="0" quotePrefix="0" xfId="0"/>
    <xf numFmtId="166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165" fontId="0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7" fontId="0" fillId="0" borderId="1" pivotButton="0" quotePrefix="0" xfId="0"/>
    <xf numFmtId="167" fontId="3" fillId="0" borderId="1" pivotButton="0" quotePrefix="0" xfId="0"/>
    <xf numFmtId="167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6" borderId="1" applyAlignment="1" pivotButton="0" quotePrefix="0" xfId="0">
      <alignment horizontal="center" vertical="center"/>
    </xf>
    <xf numFmtId="167" fontId="0" fillId="6" borderId="1" pivotButton="0" quotePrefix="0" xfId="0"/>
    <xf numFmtId="0" fontId="0" fillId="7" borderId="1" pivotButton="0" quotePrefix="0" xfId="0"/>
    <xf numFmtId="0" fontId="2" fillId="7" borderId="1" applyAlignment="1" pivotButton="0" quotePrefix="0" xfId="0">
      <alignment horizontal="center" vertical="center"/>
    </xf>
    <xf numFmtId="167" fontId="0" fillId="7" borderId="1" pivotButton="0" quotePrefix="0" xfId="0"/>
    <xf numFmtId="0" fontId="0" fillId="8" borderId="1" pivotButton="0" quotePrefix="0" xfId="0"/>
    <xf numFmtId="0" fontId="2" fillId="8" borderId="1" applyAlignment="1" pivotButton="0" quotePrefix="0" xfId="0">
      <alignment horizontal="center" vertical="center"/>
    </xf>
    <xf numFmtId="167" fontId="0" fillId="8" borderId="1" pivotButton="0" quotePrefix="0" xfId="0"/>
    <xf numFmtId="0" fontId="3" fillId="9" borderId="1" pivotButton="0" quotePrefix="0" xfId="0"/>
    <xf numFmtId="167" fontId="3" fillId="9" borderId="1" pivotButton="0" quotePrefix="0" xfId="0"/>
    <xf numFmtId="0" fontId="3" fillId="4" borderId="1" pivotButton="0" quotePrefix="0" xfId="0"/>
    <xf numFmtId="168" fontId="3" fillId="4" borderId="1" pivotButton="0" quotePrefix="0" xfId="0"/>
    <xf numFmtId="0" fontId="1" fillId="2" borderId="1" pivotButton="0" quotePrefix="0" xfId="0"/>
    <xf numFmtId="167" fontId="1" fillId="2" borderId="1" pivotButton="0" quotePrefix="0" xfId="0"/>
    <xf numFmtId="0" fontId="3" fillId="0" borderId="1" pivotButton="0" quotePrefix="0" xfId="0"/>
    <xf numFmtId="1" fontId="3" fillId="0" borderId="1" applyAlignment="1" pivotButton="0" quotePrefix="0" xfId="0">
      <alignment horizontal="center" vertical="center"/>
    </xf>
    <xf numFmtId="167" fontId="3" fillId="10" borderId="1" pivotButton="0" quotePrefix="0" xfId="0"/>
    <xf numFmtId="0" fontId="6" fillId="11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right" vertical="center"/>
    </xf>
    <xf numFmtId="1" fontId="3" fillId="9" borderId="1" applyAlignment="1" pivotButton="0" quotePrefix="0" xfId="0">
      <alignment horizontal="center" vertical="center"/>
    </xf>
    <xf numFmtId="0" fontId="9" fillId="0" borderId="0" pivotButton="0" quotePrefix="0" xfId="0"/>
    <xf numFmtId="169" fontId="3" fillId="3" borderId="1" pivotButton="0" quotePrefix="0" xfId="0"/>
    <xf numFmtId="168" fontId="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9" fontId="3" fillId="0" borderId="1" pivotButton="0" quotePrefix="0" xfId="0"/>
    <xf numFmtId="168" fontId="3" fillId="9" borderId="1" applyAlignment="1" pivotButton="0" quotePrefix="0" xfId="0">
      <alignment horizontal="center" vertical="center"/>
    </xf>
    <xf numFmtId="0" fontId="4" fillId="0" borderId="1" pivotButton="0" quotePrefix="0" xfId="0"/>
    <xf numFmtId="167" fontId="4" fillId="0" borderId="1" pivotButton="0" quotePrefix="0" xfId="0"/>
    <xf numFmtId="0" fontId="0" fillId="10" borderId="1" pivotButton="0" quotePrefix="0" xfId="0"/>
    <xf numFmtId="167" fontId="3" fillId="1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170" fontId="3" fillId="0" borderId="1" applyAlignment="1" pivotButton="0" quotePrefix="0" xfId="0">
      <alignment horizontal="center" vertical="center"/>
    </xf>
    <xf numFmtId="0" fontId="0" fillId="9" borderId="1" pivotButton="0" quotePrefix="0" xfId="0"/>
    <xf numFmtId="167" fontId="3" fillId="9" borderId="1" applyAlignment="1" pivotButton="0" quotePrefix="0" xfId="0">
      <alignment horizontal="center" vertical="center"/>
    </xf>
    <xf numFmtId="167" fontId="1" fillId="2" borderId="1" applyAlignment="1" pivotButton="0" quotePrefix="0" xfId="0">
      <alignment horizontal="center" vertical="center"/>
    </xf>
    <xf numFmtId="167" fontId="0" fillId="4" borderId="1" pivotButton="0" quotePrefix="0" xfId="0"/>
    <xf numFmtId="168" fontId="1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4" borderId="1" pivotButton="0" quotePrefix="0" xfId="0"/>
    <xf numFmtId="165" fontId="0" fillId="4" borderId="1" applyAlignment="1" pivotButton="0" quotePrefix="0" xfId="0">
      <alignment horizontal="center" vertical="center"/>
    </xf>
    <xf numFmtId="0" fontId="4" fillId="0" borderId="0" pivotButton="0" quotePrefix="0" xfId="0"/>
    <xf numFmtId="168" fontId="3" fillId="10" borderId="1" applyAlignment="1" pivotButton="0" quotePrefix="0" xfId="0">
      <alignment horizontal="center" vertical="center"/>
    </xf>
    <xf numFmtId="0" fontId="0" fillId="12" borderId="1" pivotButton="0" quotePrefix="0" xfId="0"/>
    <xf numFmtId="167" fontId="3" fillId="12" borderId="1" applyAlignment="1" pivotButton="0" quotePrefix="0" xfId="0">
      <alignment horizontal="center" vertical="center"/>
    </xf>
    <xf numFmtId="168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ill>
        <patternFill patternType="solid">
          <fgColor rgb="00F8CBAD"/>
        </patternFill>
      </fill>
    </dxf>
    <dxf>
      <font>
        <color rgb="00006100"/>
      </font>
    </dxf>
    <dxf>
      <font>
        <b val="1"/>
        <color rgb="009C0006"/>
      </font>
    </dxf>
    <dxf>
      <font>
        <i val="1"/>
        <color rgb="001F4E79"/>
      </font>
    </dxf>
    <dxf>
      <font>
        <b val="1"/>
        <color rgb="00006100"/>
      </font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833C00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Evolución del saldo del banco</a:t>
            </a:r>
          </a:p>
        </rich>
      </tx>
    </title>
    <plotArea>
      <lineChart>
        <grouping val="standard"/>
        <ser>
          <idx val="0"/>
          <order val="0"/>
          <tx>
            <strRef>
              <f>'Resumen'!F3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'Resumen'!$M$4:$M$15</f>
            </numRef>
          </cat>
          <val>
            <numRef>
              <f>'Resumen'!$F$4:$F$15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0&quot; 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Ingresos, gastos e inversión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'Resumen'!B3</f>
            </strRef>
          </tx>
          <spPr>
            <a:ln>
              <a:prstDash val="solid"/>
            </a:ln>
          </spPr>
          <cat>
            <numRef>
              <f>'Resumen'!$M$4:$M$15</f>
            </numRef>
          </cat>
          <val>
            <numRef>
              <f>'Resumen'!$B$4:$B$15</f>
            </numRef>
          </val>
        </ser>
        <ser>
          <idx val="1"/>
          <order val="1"/>
          <tx>
            <strRef>
              <f>'Resumen'!C3</f>
            </strRef>
          </tx>
          <spPr>
            <a:ln>
              <a:prstDash val="solid"/>
            </a:ln>
          </spPr>
          <cat>
            <numRef>
              <f>'Resumen'!$M$4:$M$15</f>
            </numRef>
          </cat>
          <val>
            <numRef>
              <f>'Resumen'!$C$4:$C$15</f>
            </numRef>
          </val>
        </ser>
        <ser>
          <idx val="2"/>
          <order val="2"/>
          <tx>
            <strRef>
              <f>'Resumen'!E3</f>
            </strRef>
          </tx>
          <spPr>
            <a:ln>
              <a:prstDash val="solid"/>
            </a:ln>
          </spPr>
          <cat>
            <numRef>
              <f>'Resumen'!$M$4:$M$15</f>
            </numRef>
          </cat>
          <val>
            <numRef>
              <f>'Resumen'!$E$4:$E$15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0&quot; 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Gasto por categoría (sin inversión)</a:t>
            </a:r>
          </a:p>
        </rich>
      </tx>
    </title>
    <plotArea>
      <pieChart>
        <varyColors val="1"/>
        <ser>
          <idx val="0"/>
          <order val="0"/>
          <tx>
            <strRef>
              <f>'Resumen'!I3</f>
            </strRef>
          </tx>
          <spPr>
            <a:ln>
              <a:prstDash val="solid"/>
            </a:ln>
          </spPr>
          <cat>
            <numRef>
              <f>'Resumen'!$H$4:$H$9</f>
            </numRef>
          </cat>
          <val>
            <numRef>
              <f>'Resumen'!$I$4:$I$9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Presupuesto vs. gasto real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'Presupuesto'!B4</f>
            </strRef>
          </tx>
          <spPr>
            <a:ln>
              <a:prstDash val="solid"/>
            </a:ln>
          </spPr>
          <cat>
            <numRef>
              <f>'Presupuesto'!$A$5:$A$10</f>
            </numRef>
          </cat>
          <val>
            <numRef>
              <f>'Presupuesto'!$B$5:$B$10</f>
            </numRef>
          </val>
        </ser>
        <ser>
          <idx val="1"/>
          <order val="1"/>
          <tx>
            <strRef>
              <f>'Presupuesto'!C4</f>
            </strRef>
          </tx>
          <spPr>
            <a:ln>
              <a:prstDash val="solid"/>
            </a:ln>
          </spPr>
          <cat>
            <numRef>
              <f>'Presupuesto'!$A$5:$A$10</f>
            </numRef>
          </cat>
          <val>
            <numRef>
              <f>'Presupuesto'!$C$5:$C$10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0&quot; 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Aportado vs. valor de la cartera</a:t>
            </a:r>
          </a:p>
        </rich>
      </tx>
    </title>
    <plotArea>
      <lineChart>
        <grouping val="standard"/>
        <ser>
          <idx val="0"/>
          <order val="0"/>
          <tx>
            <strRef>
              <f>'Inversiones'!L5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'Inversiones'!$K$6:$K$41</f>
            </numRef>
          </cat>
          <val>
            <numRef>
              <f>'Inversiones'!$L$6:$L$41</f>
            </numRef>
          </val>
        </ser>
        <ser>
          <idx val="1"/>
          <order val="1"/>
          <tx>
            <strRef>
              <f>'Inversiones'!M5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'Inversiones'!$K$6:$K$41</f>
            </numRef>
          </cat>
          <val>
            <numRef>
              <f>'Inversiones'!$M$6:$M$41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0&quot; 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De dónde viene el valor de tu cartera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'Inversiones'!L44</f>
            </strRef>
          </tx>
          <spPr>
            <a:ln>
              <a:prstDash val="solid"/>
            </a:ln>
          </spPr>
          <cat>
            <numRef>
              <f>'Inversiones'!$K$45:$K$48</f>
            </numRef>
          </cat>
          <val>
            <numRef>
              <f>'Inversiones'!$L$45:$L$48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52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32</row>
      <rowOff>0</rowOff>
    </from>
    <ext cx="50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49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70</row>
      <rowOff>0</rowOff>
    </from>
    <ext cx="68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22" customWidth="1" min="4" max="4"/>
    <col width="13" customWidth="1" min="5" max="5"/>
    <col width="13" customWidth="1" min="6" max="6"/>
    <col width="14" customWidth="1" min="7" max="7"/>
    <col width="22" customWidth="1" min="8" max="8"/>
    <col width="3" customWidth="1" min="9" max="9"/>
    <col width="30" customWidth="1" min="10" max="10"/>
    <col width="13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Fecha</t>
        </is>
      </c>
      <c r="B1" s="1" t="inlineStr">
        <is>
          <t>Mes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Ingresos</t>
        </is>
      </c>
      <c r="F1" s="1" t="inlineStr">
        <is>
          <t>Gastos</t>
        </is>
      </c>
      <c r="G1" s="1" t="inlineStr">
        <is>
          <t>Balance</t>
        </is>
      </c>
      <c r="H1" s="1" t="inlineStr">
        <is>
          <t>Activo (solo Inversión)</t>
        </is>
      </c>
      <c r="J1" s="1" t="inlineStr">
        <is>
          <t>PANEL DE CONTROL</t>
        </is>
      </c>
      <c r="K1" s="1" t="n"/>
      <c r="L1" s="1" t="n"/>
      <c r="M1" s="1" t="n"/>
      <c r="N1" s="1" t="n"/>
    </row>
    <row r="2">
      <c r="A2" s="2" t="n">
        <v>46235</v>
      </c>
      <c r="B2" s="3">
        <f>IF($A2="","",TEXT($A2,"mmmm yyyy"))</f>
        <v/>
      </c>
      <c r="C2" s="4" t="inlineStr">
        <is>
          <t>Nómina</t>
        </is>
      </c>
      <c r="D2" s="4" t="inlineStr">
        <is>
          <t>Sueldo</t>
        </is>
      </c>
      <c r="E2" s="5" t="n">
        <v>1500</v>
      </c>
      <c r="F2" s="5" t="n"/>
      <c r="G2" s="6">
        <f>IF($A2="","",$K$3+SUM($E$2:$E2)-SUM($F$2:$F2))</f>
        <v/>
      </c>
      <c r="H2" s="4" t="n"/>
      <c r="J2" s="7" t="inlineStr">
        <is>
          <t>Mes activo</t>
        </is>
      </c>
      <c r="K2" s="8" t="n">
        <v>46235</v>
      </c>
      <c r="L2" s="9" t="inlineStr">
        <is>
          <t>◀ cambia el mes y se actualiza todo el libro</t>
        </is>
      </c>
    </row>
    <row r="3">
      <c r="A3" s="10" t="n">
        <v>46237</v>
      </c>
      <c r="B3" s="11">
        <f>IF($A3="","",TEXT($A3,"mmmm yyyy"))</f>
        <v/>
      </c>
      <c r="C3" s="12" t="inlineStr">
        <is>
          <t>Alquiler</t>
        </is>
      </c>
      <c r="D3" s="12" t="inlineStr">
        <is>
          <t>Vivienda y Suministros</t>
        </is>
      </c>
      <c r="E3" s="13" t="n"/>
      <c r="F3" s="13" t="n">
        <v>600</v>
      </c>
      <c r="G3" s="14">
        <f>IF($A3="","",$K$3+SUM($E$2:$E3)-SUM($F$2:$F3))</f>
        <v/>
      </c>
      <c r="H3" s="12" t="n"/>
      <c r="J3" s="7" t="inlineStr">
        <is>
          <t>Saldo inicial del banco</t>
        </is>
      </c>
      <c r="K3" s="15" t="n">
        <v>1000</v>
      </c>
      <c r="L3" s="9" t="inlineStr">
        <is>
          <t>◀ lo que tenías en la cuenta antes del primer movimiento</t>
        </is>
      </c>
    </row>
    <row r="4">
      <c r="A4" s="2" t="n">
        <v>46239</v>
      </c>
      <c r="B4" s="3">
        <f>IF($A4="","",TEXT($A4,"mmmm yyyy"))</f>
        <v/>
      </c>
      <c r="C4" s="4" t="inlineStr">
        <is>
          <t>Compra supermercado</t>
        </is>
      </c>
      <c r="D4" s="4" t="inlineStr">
        <is>
          <t>Productos Básicos</t>
        </is>
      </c>
      <c r="E4" s="5" t="n"/>
      <c r="F4" s="5" t="n">
        <v>82.40000000000001</v>
      </c>
      <c r="G4" s="6">
        <f>IF($A4="","",$K$3+SUM($E$2:$E4)-SUM($F$2:$F4))</f>
        <v/>
      </c>
      <c r="H4" s="4" t="n"/>
    </row>
    <row r="5">
      <c r="A5" s="10" t="n">
        <v>46241</v>
      </c>
      <c r="B5" s="11">
        <f>IF($A5="","",TEXT($A5,"mmmm yyyy"))</f>
        <v/>
      </c>
      <c r="C5" s="12" t="inlineStr">
        <is>
          <t>Abono transporte</t>
        </is>
      </c>
      <c r="D5" s="12" t="inlineStr">
        <is>
          <t>Transporte</t>
        </is>
      </c>
      <c r="E5" s="13" t="n"/>
      <c r="F5" s="13" t="n">
        <v>30</v>
      </c>
      <c r="G5" s="14">
        <f>IF($A5="","",$K$3+SUM($E$2:$E5)-SUM($F$2:$F5))</f>
        <v/>
      </c>
      <c r="H5" s="12" t="n"/>
      <c r="J5" s="16" t="inlineStr">
        <is>
          <t>CATEGORÍA</t>
        </is>
      </c>
      <c r="K5" s="16" t="inlineStr">
        <is>
          <t>TIPO</t>
        </is>
      </c>
      <c r="L5" s="16" t="inlineStr">
        <is>
          <t>MES ACTIVO</t>
        </is>
      </c>
      <c r="M5" s="16" t="inlineStr">
        <is>
          <t>TOTAL AÑO</t>
        </is>
      </c>
      <c r="N5" s="16" t="inlineStr">
        <is>
          <t>MEDIA MENSUAL</t>
        </is>
      </c>
    </row>
    <row r="6">
      <c r="A6" s="2" t="n">
        <v>46244</v>
      </c>
      <c r="B6" s="3">
        <f>IF($A6="","",TEXT($A6,"mmmm yyyy"))</f>
        <v/>
      </c>
      <c r="C6" s="4" t="inlineStr">
        <is>
          <t>Cena con amigos</t>
        </is>
      </c>
      <c r="D6" s="4" t="inlineStr">
        <is>
          <t>Comer fuera</t>
        </is>
      </c>
      <c r="E6" s="5" t="n"/>
      <c r="F6" s="5" t="n">
        <v>28.5</v>
      </c>
      <c r="G6" s="6">
        <f>IF($A6="","",$K$3+SUM($E$2:$E6)-SUM($F$2:$F6))</f>
        <v/>
      </c>
      <c r="H6" s="4" t="n"/>
      <c r="J6" s="17" t="inlineStr">
        <is>
          <t>Sueldo</t>
        </is>
      </c>
      <c r="K6" s="18" t="inlineStr">
        <is>
          <t>Ingreso</t>
        </is>
      </c>
      <c r="L6" s="19">
        <f>IF($J6="","",IF($K6="Ingreso",SUMIFS($E$2:$E$501,$A$2:$A$501,"&gt;="&amp;$K$2,$A$2:$A$501,"&lt;"&amp;EOMONTH($K$2,0)+1,$D$2:$D$501,$J6),SUMIFS($F$2:$F$501,$A$2:$A$501,"&gt;="&amp;$K$2,$A$2:$A$501,"&lt;"&amp;EOMONTH($K$2,0)+1,$D$2:$D$501,$J6)))</f>
        <v/>
      </c>
      <c r="M6" s="19">
        <f>IF($J6="","",IF($K6="Ingreso",SUMIFS($E$2:$E$501,$A$2:$A$501,"&gt;="&amp;DATE(YEAR($K$2),1,1),$A$2:$A$501,"&lt;"&amp;DATE(YEAR($K$2)+1,1,1),$D$2:$D$501,$J6),SUMIFS($F$2:$F$501,$A$2:$A$501,"&gt;="&amp;DATE(YEAR($K$2),1,1),$A$2:$A$501,"&lt;"&amp;DATE(YEAR($K$2)+1,1,1),$D$2:$D$501,$J6)))</f>
        <v/>
      </c>
      <c r="N6" s="19">
        <f>IFERROR($M6/$L$23,0)</f>
        <v/>
      </c>
    </row>
    <row r="7">
      <c r="A7" s="10" t="n">
        <v>46246</v>
      </c>
      <c r="B7" s="11">
        <f>IF($A7="","",TEXT($A7,"mmmm yyyy"))</f>
        <v/>
      </c>
      <c r="C7" s="12" t="inlineStr">
        <is>
          <t>Cine</t>
        </is>
      </c>
      <c r="D7" s="12" t="inlineStr">
        <is>
          <t>Ocio y Caprichos</t>
        </is>
      </c>
      <c r="E7" s="13" t="n"/>
      <c r="F7" s="13" t="n">
        <v>9.9</v>
      </c>
      <c r="G7" s="14">
        <f>IF($A7="","",$K$3+SUM($E$2:$E7)-SUM($F$2:$F7))</f>
        <v/>
      </c>
      <c r="H7" s="12" t="n"/>
      <c r="J7" s="17" t="inlineStr">
        <is>
          <t>Otros Ingresos</t>
        </is>
      </c>
      <c r="K7" s="18" t="inlineStr">
        <is>
          <t>Ingreso</t>
        </is>
      </c>
      <c r="L7" s="19">
        <f>IF($J7="","",IF($K7="Ingreso",SUMIFS($E$2:$E$501,$A$2:$A$501,"&gt;="&amp;$K$2,$A$2:$A$501,"&lt;"&amp;EOMONTH($K$2,0)+1,$D$2:$D$501,$J7),SUMIFS($F$2:$F$501,$A$2:$A$501,"&gt;="&amp;$K$2,$A$2:$A$501,"&lt;"&amp;EOMONTH($K$2,0)+1,$D$2:$D$501,$J7)))</f>
        <v/>
      </c>
      <c r="M7" s="19">
        <f>IF($J7="","",IF($K7="Ingreso",SUMIFS($E$2:$E$501,$A$2:$A$501,"&gt;="&amp;DATE(YEAR($K$2),1,1),$A$2:$A$501,"&lt;"&amp;DATE(YEAR($K$2)+1,1,1),$D$2:$D$501,$J7),SUMIFS($F$2:$F$501,$A$2:$A$501,"&gt;="&amp;DATE(YEAR($K$2),1,1),$A$2:$A$501,"&lt;"&amp;DATE(YEAR($K$2)+1,1,1),$D$2:$D$501,$J7)))</f>
        <v/>
      </c>
      <c r="N7" s="19">
        <f>IFERROR($M7/$L$23,0)</f>
        <v/>
      </c>
    </row>
    <row r="8">
      <c r="A8" s="2" t="n">
        <v>46249</v>
      </c>
      <c r="B8" s="3">
        <f>IF($A8="","",TEXT($A8,"mmmm yyyy"))</f>
        <v/>
      </c>
      <c r="C8" s="4" t="inlineStr">
        <is>
          <t>Aportación mensual</t>
        </is>
      </c>
      <c r="D8" s="4" t="inlineStr">
        <is>
          <t>Inversión</t>
        </is>
      </c>
      <c r="E8" s="5" t="n"/>
      <c r="F8" s="5" t="n">
        <v>150</v>
      </c>
      <c r="G8" s="6">
        <f>IF($A8="","",$K$3+SUM($E$2:$E8)-SUM($F$2:$F8))</f>
        <v/>
      </c>
      <c r="H8" s="4" t="inlineStr">
        <is>
          <t>Fondo indexado</t>
        </is>
      </c>
      <c r="J8" s="20" t="inlineStr">
        <is>
          <t>Productos Básicos</t>
        </is>
      </c>
      <c r="K8" s="21" t="inlineStr">
        <is>
          <t>Gasto</t>
        </is>
      </c>
      <c r="L8" s="22">
        <f>IF($J8="","",IF($K8="Ingreso",SUMIFS($E$2:$E$501,$A$2:$A$501,"&gt;="&amp;$K$2,$A$2:$A$501,"&lt;"&amp;EOMONTH($K$2,0)+1,$D$2:$D$501,$J8),SUMIFS($F$2:$F$501,$A$2:$A$501,"&gt;="&amp;$K$2,$A$2:$A$501,"&lt;"&amp;EOMONTH($K$2,0)+1,$D$2:$D$501,$J8)))</f>
        <v/>
      </c>
      <c r="M8" s="22">
        <f>IF($J8="","",IF($K8="Ingreso",SUMIFS($E$2:$E$501,$A$2:$A$501,"&gt;="&amp;DATE(YEAR($K$2),1,1),$A$2:$A$501,"&lt;"&amp;DATE(YEAR($K$2)+1,1,1),$D$2:$D$501,$J8),SUMIFS($F$2:$F$501,$A$2:$A$501,"&gt;="&amp;DATE(YEAR($K$2),1,1),$A$2:$A$501,"&lt;"&amp;DATE(YEAR($K$2)+1,1,1),$D$2:$D$501,$J8)))</f>
        <v/>
      </c>
      <c r="N8" s="22">
        <f>IFERROR($M8/$L$23,0)</f>
        <v/>
      </c>
    </row>
    <row r="9">
      <c r="A9" s="10" t="n">
        <v>46252</v>
      </c>
      <c r="B9" s="11">
        <f>IF($A9="","",TEXT($A9,"mmmm yyyy"))</f>
        <v/>
      </c>
      <c r="C9" s="12" t="inlineStr">
        <is>
          <t>Luz e internet</t>
        </is>
      </c>
      <c r="D9" s="12" t="inlineStr">
        <is>
          <t>Vivienda y Suministros</t>
        </is>
      </c>
      <c r="E9" s="13" t="n"/>
      <c r="F9" s="13" t="n">
        <v>65.3</v>
      </c>
      <c r="G9" s="14">
        <f>IF($A9="","",$K$3+SUM($E$2:$E9)-SUM($F$2:$F9))</f>
        <v/>
      </c>
      <c r="H9" s="12" t="n"/>
      <c r="J9" s="20" t="inlineStr">
        <is>
          <t>Vivienda y Suministros</t>
        </is>
      </c>
      <c r="K9" s="21" t="inlineStr">
        <is>
          <t>Gasto</t>
        </is>
      </c>
      <c r="L9" s="22">
        <f>IF($J9="","",IF($K9="Ingreso",SUMIFS($E$2:$E$501,$A$2:$A$501,"&gt;="&amp;$K$2,$A$2:$A$501,"&lt;"&amp;EOMONTH($K$2,0)+1,$D$2:$D$501,$J9),SUMIFS($F$2:$F$501,$A$2:$A$501,"&gt;="&amp;$K$2,$A$2:$A$501,"&lt;"&amp;EOMONTH($K$2,0)+1,$D$2:$D$501,$J9)))</f>
        <v/>
      </c>
      <c r="M9" s="22">
        <f>IF($J9="","",IF($K9="Ingreso",SUMIFS($E$2:$E$501,$A$2:$A$501,"&gt;="&amp;DATE(YEAR($K$2),1,1),$A$2:$A$501,"&lt;"&amp;DATE(YEAR($K$2)+1,1,1),$D$2:$D$501,$J9),SUMIFS($F$2:$F$501,$A$2:$A$501,"&gt;="&amp;DATE(YEAR($K$2),1,1),$A$2:$A$501,"&lt;"&amp;DATE(YEAR($K$2)+1,1,1),$D$2:$D$501,$J9)))</f>
        <v/>
      </c>
      <c r="N9" s="22">
        <f>IFERROR($M9/$L$23,0)</f>
        <v/>
      </c>
    </row>
    <row r="10">
      <c r="A10" s="2" t="n">
        <v>46254</v>
      </c>
      <c r="B10" s="3">
        <f>IF($A10="","",TEXT($A10,"mmmm yyyy"))</f>
        <v/>
      </c>
      <c r="C10" s="4" t="inlineStr">
        <is>
          <t>Compra supermercado</t>
        </is>
      </c>
      <c r="D10" s="4" t="inlineStr">
        <is>
          <t>Productos Básicos</t>
        </is>
      </c>
      <c r="E10" s="5" t="n"/>
      <c r="F10" s="5" t="n">
        <v>54.2</v>
      </c>
      <c r="G10" s="6">
        <f>IF($A10="","",$K$3+SUM($E$2:$E10)-SUM($F$2:$F10))</f>
        <v/>
      </c>
      <c r="H10" s="4" t="n"/>
      <c r="J10" s="20" t="inlineStr">
        <is>
          <t>Transporte</t>
        </is>
      </c>
      <c r="K10" s="21" t="inlineStr">
        <is>
          <t>Gasto</t>
        </is>
      </c>
      <c r="L10" s="22">
        <f>IF($J10="","",IF($K10="Ingreso",SUMIFS($E$2:$E$501,$A$2:$A$501,"&gt;="&amp;$K$2,$A$2:$A$501,"&lt;"&amp;EOMONTH($K$2,0)+1,$D$2:$D$501,$J10),SUMIFS($F$2:$F$501,$A$2:$A$501,"&gt;="&amp;$K$2,$A$2:$A$501,"&lt;"&amp;EOMONTH($K$2,0)+1,$D$2:$D$501,$J10)))</f>
        <v/>
      </c>
      <c r="M10" s="22">
        <f>IF($J10="","",IF($K10="Ingreso",SUMIFS($E$2:$E$501,$A$2:$A$501,"&gt;="&amp;DATE(YEAR($K$2),1,1),$A$2:$A$501,"&lt;"&amp;DATE(YEAR($K$2)+1,1,1),$D$2:$D$501,$J10),SUMIFS($F$2:$F$501,$A$2:$A$501,"&gt;="&amp;DATE(YEAR($K$2),1,1),$A$2:$A$501,"&lt;"&amp;DATE(YEAR($K$2)+1,1,1),$D$2:$D$501,$J10)))</f>
        <v/>
      </c>
      <c r="N10" s="22">
        <f>IFERROR($M10/$L$23,0)</f>
        <v/>
      </c>
    </row>
    <row r="11">
      <c r="A11" s="10" t="n">
        <v>46259</v>
      </c>
      <c r="B11" s="11">
        <f>IF($A11="","",TEXT($A11,"mmmm yyyy"))</f>
        <v/>
      </c>
      <c r="C11" s="12" t="inlineStr">
        <is>
          <t>Farmacia</t>
        </is>
      </c>
      <c r="D11" s="12" t="inlineStr">
        <is>
          <t>Otros Gastos</t>
        </is>
      </c>
      <c r="E11" s="13" t="n"/>
      <c r="F11" s="13" t="n">
        <v>12.8</v>
      </c>
      <c r="G11" s="14">
        <f>IF($A11="","",$K$3+SUM($E$2:$E11)-SUM($F$2:$F11))</f>
        <v/>
      </c>
      <c r="H11" s="12" t="n"/>
      <c r="J11" s="20" t="inlineStr">
        <is>
          <t>Ocio y Caprichos</t>
        </is>
      </c>
      <c r="K11" s="21" t="inlineStr">
        <is>
          <t>Gasto</t>
        </is>
      </c>
      <c r="L11" s="22">
        <f>IF($J11="","",IF($K11="Ingreso",SUMIFS($E$2:$E$501,$A$2:$A$501,"&gt;="&amp;$K$2,$A$2:$A$501,"&lt;"&amp;EOMONTH($K$2,0)+1,$D$2:$D$501,$J11),SUMIFS($F$2:$F$501,$A$2:$A$501,"&gt;="&amp;$K$2,$A$2:$A$501,"&lt;"&amp;EOMONTH($K$2,0)+1,$D$2:$D$501,$J11)))</f>
        <v/>
      </c>
      <c r="M11" s="22">
        <f>IF($J11="","",IF($K11="Ingreso",SUMIFS($E$2:$E$501,$A$2:$A$501,"&gt;="&amp;DATE(YEAR($K$2),1,1),$A$2:$A$501,"&lt;"&amp;DATE(YEAR($K$2)+1,1,1),$D$2:$D$501,$J11),SUMIFS($F$2:$F$501,$A$2:$A$501,"&gt;="&amp;DATE(YEAR($K$2),1,1),$A$2:$A$501,"&lt;"&amp;DATE(YEAR($K$2)+1,1,1),$D$2:$D$501,$J11)))</f>
        <v/>
      </c>
      <c r="N11" s="22">
        <f>IFERROR($M11/$L$23,0)</f>
        <v/>
      </c>
    </row>
    <row r="12">
      <c r="A12" s="2" t="n"/>
      <c r="B12" s="3">
        <f>IF($A12="","",TEXT($A12,"mmmm yyyy"))</f>
        <v/>
      </c>
      <c r="C12" s="4" t="n"/>
      <c r="D12" s="4" t="n"/>
      <c r="E12" s="5" t="n"/>
      <c r="F12" s="5" t="n"/>
      <c r="G12" s="6">
        <f>IF($A12="","",$K$3+SUM($E$2:$E12)-SUM($F$2:$F12))</f>
        <v/>
      </c>
      <c r="H12" s="4" t="n"/>
      <c r="J12" s="20" t="inlineStr">
        <is>
          <t>Comer fuera</t>
        </is>
      </c>
      <c r="K12" s="21" t="inlineStr">
        <is>
          <t>Gasto</t>
        </is>
      </c>
      <c r="L12" s="22">
        <f>IF($J12="","",IF($K12="Ingreso",SUMIFS($E$2:$E$501,$A$2:$A$501,"&gt;="&amp;$K$2,$A$2:$A$501,"&lt;"&amp;EOMONTH($K$2,0)+1,$D$2:$D$501,$J12),SUMIFS($F$2:$F$501,$A$2:$A$501,"&gt;="&amp;$K$2,$A$2:$A$501,"&lt;"&amp;EOMONTH($K$2,0)+1,$D$2:$D$501,$J12)))</f>
        <v/>
      </c>
      <c r="M12" s="22">
        <f>IF($J12="","",IF($K12="Ingreso",SUMIFS($E$2:$E$501,$A$2:$A$501,"&gt;="&amp;DATE(YEAR($K$2),1,1),$A$2:$A$501,"&lt;"&amp;DATE(YEAR($K$2)+1,1,1),$D$2:$D$501,$J12),SUMIFS($F$2:$F$501,$A$2:$A$501,"&gt;="&amp;DATE(YEAR($K$2),1,1),$A$2:$A$501,"&lt;"&amp;DATE(YEAR($K$2)+1,1,1),$D$2:$D$501,$J12)))</f>
        <v/>
      </c>
      <c r="N12" s="22">
        <f>IFERROR($M12/$L$23,0)</f>
        <v/>
      </c>
    </row>
    <row r="13">
      <c r="A13" s="10" t="n"/>
      <c r="B13" s="11">
        <f>IF($A13="","",TEXT($A13,"mmmm yyyy"))</f>
        <v/>
      </c>
      <c r="C13" s="12" t="n"/>
      <c r="D13" s="12" t="n"/>
      <c r="E13" s="13" t="n"/>
      <c r="F13" s="13" t="n"/>
      <c r="G13" s="14">
        <f>IF($A13="","",$K$3+SUM($E$2:$E13)-SUM($F$2:$F13))</f>
        <v/>
      </c>
      <c r="H13" s="12" t="n"/>
      <c r="J13" s="20" t="inlineStr">
        <is>
          <t>Otros Gastos</t>
        </is>
      </c>
      <c r="K13" s="21" t="inlineStr">
        <is>
          <t>Gasto</t>
        </is>
      </c>
      <c r="L13" s="22">
        <f>IF($J13="","",IF($K13="Ingreso",SUMIFS($E$2:$E$501,$A$2:$A$501,"&gt;="&amp;$K$2,$A$2:$A$501,"&lt;"&amp;EOMONTH($K$2,0)+1,$D$2:$D$501,$J13),SUMIFS($F$2:$F$501,$A$2:$A$501,"&gt;="&amp;$K$2,$A$2:$A$501,"&lt;"&amp;EOMONTH($K$2,0)+1,$D$2:$D$501,$J13)))</f>
        <v/>
      </c>
      <c r="M13" s="22">
        <f>IF($J13="","",IF($K13="Ingreso",SUMIFS($E$2:$E$501,$A$2:$A$501,"&gt;="&amp;DATE(YEAR($K$2),1,1),$A$2:$A$501,"&lt;"&amp;DATE(YEAR($K$2)+1,1,1),$D$2:$D$501,$J13),SUMIFS($F$2:$F$501,$A$2:$A$501,"&gt;="&amp;DATE(YEAR($K$2),1,1),$A$2:$A$501,"&lt;"&amp;DATE(YEAR($K$2)+1,1,1),$D$2:$D$501,$J13)))</f>
        <v/>
      </c>
      <c r="N13" s="22">
        <f>IFERROR($M13/$L$23,0)</f>
        <v/>
      </c>
    </row>
    <row r="14">
      <c r="A14" s="2" t="n"/>
      <c r="B14" s="3">
        <f>IF($A14="","",TEXT($A14,"mmmm yyyy"))</f>
        <v/>
      </c>
      <c r="C14" s="4" t="n"/>
      <c r="D14" s="4" t="n"/>
      <c r="E14" s="5" t="n"/>
      <c r="F14" s="5" t="n"/>
      <c r="G14" s="6">
        <f>IF($A14="","",$K$3+SUM($E$2:$E14)-SUM($F$2:$F14))</f>
        <v/>
      </c>
      <c r="H14" s="4" t="n"/>
      <c r="J14" s="23" t="inlineStr">
        <is>
          <t>Inversión</t>
        </is>
      </c>
      <c r="K14" s="24" t="inlineStr">
        <is>
          <t>Inversión</t>
        </is>
      </c>
      <c r="L14" s="25">
        <f>IF($J14="","",IF($K14="Ingreso",SUMIFS($E$2:$E$501,$A$2:$A$501,"&gt;="&amp;$K$2,$A$2:$A$501,"&lt;"&amp;EOMONTH($K$2,0)+1,$D$2:$D$501,$J14),SUMIFS($F$2:$F$501,$A$2:$A$501,"&gt;="&amp;$K$2,$A$2:$A$501,"&lt;"&amp;EOMONTH($K$2,0)+1,$D$2:$D$501,$J14)))</f>
        <v/>
      </c>
      <c r="M14" s="25">
        <f>IF($J14="","",IF($K14="Ingreso",SUMIFS($E$2:$E$501,$A$2:$A$501,"&gt;="&amp;DATE(YEAR($K$2),1,1),$A$2:$A$501,"&lt;"&amp;DATE(YEAR($K$2)+1,1,1),$D$2:$D$501,$J14),SUMIFS($F$2:$F$501,$A$2:$A$501,"&gt;="&amp;DATE(YEAR($K$2),1,1),$A$2:$A$501,"&lt;"&amp;DATE(YEAR($K$2)+1,1,1),$D$2:$D$501,$J14)))</f>
        <v/>
      </c>
      <c r="N14" s="25">
        <f>IFERROR($M14/$L$23,0)</f>
        <v/>
      </c>
    </row>
    <row r="15">
      <c r="A15" s="10" t="n"/>
      <c r="B15" s="11">
        <f>IF($A15="","",TEXT($A15,"mmmm yyyy"))</f>
        <v/>
      </c>
      <c r="C15" s="12" t="n"/>
      <c r="D15" s="12" t="n"/>
      <c r="E15" s="13" t="n"/>
      <c r="F15" s="13" t="n"/>
      <c r="G15" s="14">
        <f>IF($A15="","",$K$3+SUM($E$2:$E15)-SUM($F$2:$F15))</f>
        <v/>
      </c>
      <c r="H15" s="12" t="n"/>
    </row>
    <row r="16">
      <c r="A16" s="2" t="n"/>
      <c r="B16" s="3">
        <f>IF($A16="","",TEXT($A16,"mmmm yyyy"))</f>
        <v/>
      </c>
      <c r="C16" s="4" t="n"/>
      <c r="D16" s="4" t="n"/>
      <c r="E16" s="5" t="n"/>
      <c r="F16" s="5" t="n"/>
      <c r="G16" s="6">
        <f>IF($A16="","",$K$3+SUM($E$2:$E16)-SUM($F$2:$F16))</f>
        <v/>
      </c>
      <c r="H16" s="4" t="n"/>
      <c r="J16" s="26" t="inlineStr">
        <is>
          <t>TOTAL INGRESOS</t>
        </is>
      </c>
      <c r="K16" s="26" t="n"/>
      <c r="L16" s="27">
        <f>SUMIF($K$6:$K$14,"Ingreso",L$6:L$14)</f>
        <v/>
      </c>
      <c r="M16" s="27">
        <f>SUMIF($K$6:$K$14,"Ingreso",M$6:M$14)</f>
        <v/>
      </c>
    </row>
    <row r="17">
      <c r="A17" s="10" t="n"/>
      <c r="B17" s="11">
        <f>IF($A17="","",TEXT($A17,"mmmm yyyy"))</f>
        <v/>
      </c>
      <c r="C17" s="12" t="n"/>
      <c r="D17" s="12" t="n"/>
      <c r="E17" s="13" t="n"/>
      <c r="F17" s="13" t="n"/>
      <c r="G17" s="14">
        <f>IF($A17="","",$K$3+SUM($E$2:$E17)-SUM($F$2:$F17))</f>
        <v/>
      </c>
      <c r="H17" s="12" t="n"/>
      <c r="J17" s="26" t="inlineStr">
        <is>
          <t>TOTAL GASTOS</t>
        </is>
      </c>
      <c r="K17" s="26" t="n"/>
      <c r="L17" s="27">
        <f>SUMIF($K$6:$K$14,"Gasto",L$6:L$14)</f>
        <v/>
      </c>
      <c r="M17" s="27">
        <f>SUMIF($K$6:$K$14,"Gasto",M$6:M$14)</f>
        <v/>
      </c>
    </row>
    <row r="18">
      <c r="A18" s="2" t="n"/>
      <c r="B18" s="3">
        <f>IF($A18="","",TEXT($A18,"mmmm yyyy"))</f>
        <v/>
      </c>
      <c r="C18" s="4" t="n"/>
      <c r="D18" s="4" t="n"/>
      <c r="E18" s="5" t="n"/>
      <c r="F18" s="5" t="n"/>
      <c r="G18" s="6">
        <f>IF($A18="","",$K$3+SUM($E$2:$E18)-SUM($F$2:$F18))</f>
        <v/>
      </c>
      <c r="H18" s="4" t="n"/>
      <c r="J18" s="26" t="inlineStr">
        <is>
          <t>AHORRO (ingresos − gastos)</t>
        </is>
      </c>
      <c r="K18" s="26" t="n"/>
      <c r="L18" s="27">
        <f>L16-L17</f>
        <v/>
      </c>
      <c r="M18" s="27">
        <f>M16-M17</f>
        <v/>
      </c>
    </row>
    <row r="19">
      <c r="A19" s="10" t="n"/>
      <c r="B19" s="11">
        <f>IF($A19="","",TEXT($A19,"mmmm yyyy"))</f>
        <v/>
      </c>
      <c r="C19" s="12" t="n"/>
      <c r="D19" s="12" t="n"/>
      <c r="E19" s="13" t="n"/>
      <c r="F19" s="13" t="n"/>
      <c r="G19" s="14">
        <f>IF($A19="","",$K$3+SUM($E$2:$E19)-SUM($F$2:$F19))</f>
        <v/>
      </c>
      <c r="H19" s="12" t="n"/>
      <c r="J19" s="28" t="inlineStr">
        <is>
          <t>% de ahorro</t>
        </is>
      </c>
      <c r="K19" s="28" t="n"/>
      <c r="L19" s="29">
        <f>IFERROR(L18/L16,0)</f>
        <v/>
      </c>
      <c r="M19" s="29">
        <f>IFERROR(M18/M16,0)</f>
        <v/>
      </c>
    </row>
    <row r="20">
      <c r="A20" s="2" t="n"/>
      <c r="B20" s="3">
        <f>IF($A20="","",TEXT($A20,"mmmm yyyy"))</f>
        <v/>
      </c>
      <c r="C20" s="4" t="n"/>
      <c r="D20" s="4" t="n"/>
      <c r="E20" s="5" t="n"/>
      <c r="F20" s="5" t="n"/>
      <c r="G20" s="6">
        <f>IF($A20="","",$K$3+SUM($E$2:$E20)-SUM($F$2:$F20))</f>
        <v/>
      </c>
      <c r="H20" s="4" t="n"/>
      <c r="J20" s="26" t="inlineStr">
        <is>
          <t>Aportado a inversión</t>
        </is>
      </c>
      <c r="K20" s="26" t="n"/>
      <c r="L20" s="27">
        <f>SUMIF($K$6:$K$14,"Inversión",L$6:L$14)</f>
        <v/>
      </c>
      <c r="M20" s="27">
        <f>SUMIF($K$6:$K$14,"Inversión",M$6:M$14)</f>
        <v/>
      </c>
    </row>
    <row r="21">
      <c r="A21" s="10" t="n"/>
      <c r="B21" s="11">
        <f>IF($A21="","",TEXT($A21,"mmmm yyyy"))</f>
        <v/>
      </c>
      <c r="C21" s="12" t="n"/>
      <c r="D21" s="12" t="n"/>
      <c r="E21" s="13" t="n"/>
      <c r="F21" s="13" t="n"/>
      <c r="G21" s="14">
        <f>IF($A21="","",$K$3+SUM($E$2:$E21)-SUM($F$2:$F21))</f>
        <v/>
      </c>
      <c r="H21" s="12" t="n"/>
      <c r="J21" s="30" t="inlineStr">
        <is>
          <t>FLUJO NETO del banco</t>
        </is>
      </c>
      <c r="K21" s="30" t="n"/>
      <c r="L21" s="31">
        <f>L18-L20</f>
        <v/>
      </c>
      <c r="M21" s="31">
        <f>M18-M20</f>
        <v/>
      </c>
    </row>
    <row r="22">
      <c r="A22" s="2" t="n"/>
      <c r="B22" s="3">
        <f>IF($A22="","",TEXT($A22,"mmmm yyyy"))</f>
        <v/>
      </c>
      <c r="C22" s="4" t="n"/>
      <c r="D22" s="4" t="n"/>
      <c r="E22" s="5" t="n"/>
      <c r="F22" s="5" t="n"/>
      <c r="G22" s="6">
        <f>IF($A22="","",$K$3+SUM($E$2:$E22)-SUM($F$2:$F22))</f>
        <v/>
      </c>
      <c r="H22" s="4" t="n"/>
    </row>
    <row r="23">
      <c r="A23" s="10" t="n"/>
      <c r="B23" s="11">
        <f>IF($A23="","",TEXT($A23,"mmmm yyyy"))</f>
        <v/>
      </c>
      <c r="C23" s="12" t="n"/>
      <c r="D23" s="12" t="n"/>
      <c r="E23" s="13" t="n"/>
      <c r="F23" s="13" t="n"/>
      <c r="G23" s="14">
        <f>IF($A23="","",$K$3+SUM($E$2:$E23)-SUM($F$2:$F23))</f>
        <v/>
      </c>
      <c r="H23" s="12" t="n"/>
      <c r="J23" s="32" t="inlineStr">
        <is>
          <t>Meses con datos</t>
        </is>
      </c>
      <c r="K23" s="32" t="n"/>
      <c r="L23" s="33">
        <f>SUMPRODUCT(--((Resumen!$B$4:$B$15+Resumen!$C$4:$C$15+Resumen!$E$4:$E$15)&gt;0))</f>
        <v/>
      </c>
    </row>
    <row r="24">
      <c r="A24" s="2" t="n"/>
      <c r="B24" s="3">
        <f>IF($A24="","",TEXT($A24,"mmmm yyyy"))</f>
        <v/>
      </c>
      <c r="C24" s="4" t="n"/>
      <c r="D24" s="4" t="n"/>
      <c r="E24" s="5" t="n"/>
      <c r="F24" s="5" t="n"/>
      <c r="G24" s="6">
        <f>IF($A24="","",$K$3+SUM($E$2:$E24)-SUM($F$2:$F24))</f>
        <v/>
      </c>
      <c r="H24" s="4" t="n"/>
      <c r="J24" s="32" t="inlineStr">
        <is>
          <t>Saldo actual del banco</t>
        </is>
      </c>
      <c r="K24" s="32" t="n"/>
      <c r="L24" s="34">
        <f>$K$3+SUM($E$2:$E$501)-SUM($F$2:$F$501)</f>
        <v/>
      </c>
    </row>
    <row r="25">
      <c r="A25" s="10" t="n"/>
      <c r="B25" s="11">
        <f>IF($A25="","",TEXT($A25,"mmmm yyyy"))</f>
        <v/>
      </c>
      <c r="C25" s="12" t="n"/>
      <c r="D25" s="12" t="n"/>
      <c r="E25" s="13" t="n"/>
      <c r="F25" s="13" t="n"/>
      <c r="G25" s="14">
        <f>IF($A25="","",$K$3+SUM($E$2:$E25)-SUM($F$2:$F25))</f>
        <v/>
      </c>
      <c r="H25" s="12" t="n"/>
    </row>
    <row r="26">
      <c r="A26" s="2" t="n"/>
      <c r="B26" s="3">
        <f>IF($A26="","",TEXT($A26,"mmmm yyyy"))</f>
        <v/>
      </c>
      <c r="C26" s="4" t="n"/>
      <c r="D26" s="4" t="n"/>
      <c r="E26" s="5" t="n"/>
      <c r="F26" s="5" t="n"/>
      <c r="G26" s="6">
        <f>IF($A26="","",$K$3+SUM($E$2:$E26)-SUM($F$2:$F26))</f>
        <v/>
      </c>
      <c r="H26" s="4" t="n"/>
      <c r="J26" s="16" t="inlineStr">
        <is>
          <t>CÓMO USARLO</t>
        </is>
      </c>
      <c r="K26" s="16" t="n"/>
      <c r="L26" s="16" t="n"/>
      <c r="M26" s="16" t="n"/>
      <c r="N26" s="16" t="n"/>
    </row>
    <row r="27">
      <c r="A27" s="10" t="n"/>
      <c r="B27" s="11">
        <f>IF($A27="","",TEXT($A27,"mmmm yyyy"))</f>
        <v/>
      </c>
      <c r="C27" s="12" t="n"/>
      <c r="D27" s="12" t="n"/>
      <c r="E27" s="13" t="n"/>
      <c r="F27" s="13" t="n"/>
      <c r="G27" s="14">
        <f>IF($A27="","",$K$3+SUM($E$2:$E27)-SUM($F$2:$F27))</f>
        <v/>
      </c>
      <c r="H27" s="12" t="n"/>
      <c r="J27" s="35" t="inlineStr">
        <is>
          <t>‼ TODO LO QUE VES SON DATOS DE EJEMPLO INVENTADOS.</t>
        </is>
      </c>
      <c r="K27" s="35" t="n"/>
      <c r="L27" s="35" t="n"/>
      <c r="M27" s="35" t="n"/>
      <c r="N27" s="35" t="n"/>
    </row>
    <row r="28">
      <c r="A28" s="2" t="n"/>
      <c r="B28" s="3">
        <f>IF($A28="","",TEXT($A28,"mmmm yyyy"))</f>
        <v/>
      </c>
      <c r="C28" s="4" t="n"/>
      <c r="D28" s="4" t="n"/>
      <c r="E28" s="5" t="n"/>
      <c r="F28" s="5" t="n"/>
      <c r="G28" s="6">
        <f>IF($A28="","",$K$3+SUM($E$2:$E28)-SUM($F$2:$F28))</f>
        <v/>
      </c>
      <c r="H28" s="4" t="n"/>
      <c r="J28" s="35" t="inlineStr">
        <is>
          <t xml:space="preserve">   Borra las filas 2 a 11, pon tu saldo en K3 y empieza a apuntar lo tuyo.</t>
        </is>
      </c>
      <c r="K28" s="35" t="n"/>
      <c r="L28" s="35" t="n"/>
      <c r="M28" s="35" t="n"/>
      <c r="N28" s="35" t="n"/>
    </row>
    <row r="29">
      <c r="A29" s="10" t="n"/>
      <c r="B29" s="11">
        <f>IF($A29="","",TEXT($A29,"mmmm yyyy"))</f>
        <v/>
      </c>
      <c r="C29" s="12" t="n"/>
      <c r="D29" s="12" t="n"/>
      <c r="E29" s="13" t="n"/>
      <c r="F29" s="13" t="n"/>
      <c r="G29" s="14">
        <f>IF($A29="","",$K$3+SUM($E$2:$E29)-SUM($F$2:$F29))</f>
        <v/>
      </c>
      <c r="H29" s="12" t="n"/>
      <c r="J29" s="36" t="inlineStr">
        <is>
          <t>• Rellena solo A (fecha), C (descripción), D (categoría) y el importe en E o en F.</t>
        </is>
      </c>
    </row>
    <row r="30">
      <c r="A30" s="2" t="n"/>
      <c r="B30" s="3">
        <f>IF($A30="","",TEXT($A30,"mmmm yyyy"))</f>
        <v/>
      </c>
      <c r="C30" s="4" t="n"/>
      <c r="D30" s="4" t="n"/>
      <c r="E30" s="5" t="n"/>
      <c r="F30" s="5" t="n"/>
      <c r="G30" s="6">
        <f>IF($A30="","",$K$3+SUM($E$2:$E30)-SUM($F$2:$F30))</f>
        <v/>
      </c>
      <c r="H30" s="4" t="n"/>
      <c r="J30" s="36" t="inlineStr">
        <is>
          <t>• B (Mes) y G (Balance) se calculan solos. No los toques.</t>
        </is>
      </c>
    </row>
    <row r="31">
      <c r="A31" s="10" t="n"/>
      <c r="B31" s="11">
        <f>IF($A31="","",TEXT($A31,"mmmm yyyy"))</f>
        <v/>
      </c>
      <c r="C31" s="12" t="n"/>
      <c r="D31" s="12" t="n"/>
      <c r="E31" s="13" t="n"/>
      <c r="F31" s="13" t="n"/>
      <c r="G31" s="14">
        <f>IF($A31="","",$K$3+SUM($E$2:$E31)-SUM($F$2:$F31))</f>
        <v/>
      </c>
      <c r="H31" s="12" t="n"/>
      <c r="J31" s="36" t="inlineStr">
        <is>
          <t>• En el panel solo editas las celdas amarillas: K2 (mes) y K3 (saldo inicial).</t>
        </is>
      </c>
    </row>
    <row r="32">
      <c r="A32" s="2" t="n"/>
      <c r="B32" s="3">
        <f>IF($A32="","",TEXT($A32,"mmmm yyyy"))</f>
        <v/>
      </c>
      <c r="C32" s="4" t="n"/>
      <c r="D32" s="4" t="n"/>
      <c r="E32" s="5" t="n"/>
      <c r="F32" s="5" t="n"/>
      <c r="G32" s="6">
        <f>IF($A32="","",$K$3+SUM($E$2:$E32)-SUM($F$2:$F32))</f>
        <v/>
      </c>
      <c r="H32" s="4" t="n"/>
      <c r="J32" s="36" t="inlineStr">
        <is>
          <t>• La INVERSIÓN ya no es un gasto. Va en F porque el dinero sale del banco,</t>
        </is>
      </c>
    </row>
    <row r="33">
      <c r="A33" s="10" t="n"/>
      <c r="B33" s="11">
        <f>IF($A33="","",TEXT($A33,"mmmm yyyy"))</f>
        <v/>
      </c>
      <c r="C33" s="12" t="n"/>
      <c r="D33" s="12" t="n"/>
      <c r="E33" s="13" t="n"/>
      <c r="F33" s="13" t="n"/>
      <c r="G33" s="14">
        <f>IF($A33="","",$K$3+SUM($E$2:$E33)-SUM($F$2:$F33))</f>
        <v/>
      </c>
      <c r="H33" s="12" t="n"/>
      <c r="J33" s="36" t="inlineStr">
        <is>
          <t xml:space="preserve">   pero se resta aparte: «AHORRO» va sin ella, «FLUJO NETO» con ella.</t>
        </is>
      </c>
    </row>
    <row r="34">
      <c r="A34" s="2" t="n"/>
      <c r="B34" s="3">
        <f>IF($A34="","",TEXT($A34,"mmmm yyyy"))</f>
        <v/>
      </c>
      <c r="C34" s="4" t="n"/>
      <c r="D34" s="4" t="n"/>
      <c r="E34" s="5" t="n"/>
      <c r="F34" s="5" t="n"/>
      <c r="G34" s="6">
        <f>IF($A34="","",$K$3+SUM($E$2:$E34)-SUM($F$2:$F34))</f>
        <v/>
      </c>
      <c r="H34" s="4" t="n"/>
      <c r="J34" s="36" t="inlineStr">
        <is>
          <t>• Si la categoría es Inversión, elige en H a qué activo va (desplegable).</t>
        </is>
      </c>
    </row>
    <row r="35">
      <c r="A35" s="10" t="n"/>
      <c r="B35" s="11">
        <f>IF($A35="","",TEXT($A35,"mmmm yyyy"))</f>
        <v/>
      </c>
      <c r="C35" s="12" t="n"/>
      <c r="D35" s="12" t="n"/>
      <c r="E35" s="13" t="n"/>
      <c r="F35" s="13" t="n"/>
      <c r="G35" s="14">
        <f>IF($A35="","",$K$3+SUM($E$2:$E35)-SUM($F$2:$F35))</f>
        <v/>
      </c>
      <c r="H35" s="12" t="n"/>
      <c r="J35" s="36" t="inlineStr">
        <is>
          <t>• El cashback / dinero gratis NO se apunta aquí: va en la hoja Inversiones.</t>
        </is>
      </c>
    </row>
    <row r="36">
      <c r="A36" s="2" t="n"/>
      <c r="B36" s="3">
        <f>IF($A36="","",TEXT($A36,"mmmm yyyy"))</f>
        <v/>
      </c>
      <c r="C36" s="4" t="n"/>
      <c r="D36" s="4" t="n"/>
      <c r="E36" s="5" t="n"/>
      <c r="F36" s="5" t="n"/>
      <c r="G36" s="6">
        <f>IF($A36="","",$K$3+SUM($E$2:$E36)-SUM($F$2:$F36))</f>
        <v/>
      </c>
      <c r="H36" s="4" t="n"/>
      <c r="J36" s="36" t="inlineStr">
        <is>
          <t>• Para añadir una categoría escríbela en J6:J14 y ponle su TIPO en K.</t>
        </is>
      </c>
    </row>
    <row r="37">
      <c r="A37" s="10" t="n"/>
      <c r="B37" s="11">
        <f>IF($A37="","",TEXT($A37,"mmmm yyyy"))</f>
        <v/>
      </c>
      <c r="C37" s="12" t="n"/>
      <c r="D37" s="12" t="n"/>
      <c r="E37" s="13" t="n"/>
      <c r="F37" s="13" t="n"/>
      <c r="G37" s="14">
        <f>IF($A37="","",$K$3+SUM($E$2:$E37)-SUM($F$2:$F37))</f>
        <v/>
      </c>
      <c r="H37" s="12" t="n"/>
    </row>
    <row r="38">
      <c r="A38" s="2" t="n"/>
      <c r="B38" s="3">
        <f>IF($A38="","",TEXT($A38,"mmmm yyyy"))</f>
        <v/>
      </c>
      <c r="C38" s="4" t="n"/>
      <c r="D38" s="4" t="n"/>
      <c r="E38" s="5" t="n"/>
      <c r="F38" s="5" t="n"/>
      <c r="G38" s="6">
        <f>IF($A38="","",$K$3+SUM($E$2:$E38)-SUM($F$2:$F38))</f>
        <v/>
      </c>
      <c r="H38" s="4" t="n"/>
    </row>
    <row r="39">
      <c r="A39" s="10" t="n"/>
      <c r="B39" s="11">
        <f>IF($A39="","",TEXT($A39,"mmmm yyyy"))</f>
        <v/>
      </c>
      <c r="C39" s="12" t="n"/>
      <c r="D39" s="12" t="n"/>
      <c r="E39" s="13" t="n"/>
      <c r="F39" s="13" t="n"/>
      <c r="G39" s="14">
        <f>IF($A39="","",$K$3+SUM($E$2:$E39)-SUM($F$2:$F39))</f>
        <v/>
      </c>
      <c r="H39" s="12" t="n"/>
    </row>
    <row r="40">
      <c r="A40" s="2" t="n"/>
      <c r="B40" s="3">
        <f>IF($A40="","",TEXT($A40,"mmmm yyyy"))</f>
        <v/>
      </c>
      <c r="C40" s="4" t="n"/>
      <c r="D40" s="4" t="n"/>
      <c r="E40" s="5" t="n"/>
      <c r="F40" s="5" t="n"/>
      <c r="G40" s="6">
        <f>IF($A40="","",$K$3+SUM($E$2:$E40)-SUM($F$2:$F40))</f>
        <v/>
      </c>
      <c r="H40" s="4" t="n"/>
    </row>
    <row r="41">
      <c r="A41" s="10" t="n"/>
      <c r="B41" s="11">
        <f>IF($A41="","",TEXT($A41,"mmmm yyyy"))</f>
        <v/>
      </c>
      <c r="C41" s="12" t="n"/>
      <c r="D41" s="12" t="n"/>
      <c r="E41" s="13" t="n"/>
      <c r="F41" s="13" t="n"/>
      <c r="G41" s="14">
        <f>IF($A41="","",$K$3+SUM($E$2:$E41)-SUM($F$2:$F41))</f>
        <v/>
      </c>
      <c r="H41" s="12" t="n"/>
    </row>
    <row r="42">
      <c r="A42" s="2" t="n"/>
      <c r="B42" s="3">
        <f>IF($A42="","",TEXT($A42,"mmmm yyyy"))</f>
        <v/>
      </c>
      <c r="C42" s="4" t="n"/>
      <c r="D42" s="4" t="n"/>
      <c r="E42" s="5" t="n"/>
      <c r="F42" s="5" t="n"/>
      <c r="G42" s="6">
        <f>IF($A42="","",$K$3+SUM($E$2:$E42)-SUM($F$2:$F42))</f>
        <v/>
      </c>
      <c r="H42" s="4" t="n"/>
    </row>
    <row r="43">
      <c r="A43" s="10" t="n"/>
      <c r="B43" s="11">
        <f>IF($A43="","",TEXT($A43,"mmmm yyyy"))</f>
        <v/>
      </c>
      <c r="C43" s="12" t="n"/>
      <c r="D43" s="12" t="n"/>
      <c r="E43" s="13" t="n"/>
      <c r="F43" s="13" t="n"/>
      <c r="G43" s="14">
        <f>IF($A43="","",$K$3+SUM($E$2:$E43)-SUM($F$2:$F43))</f>
        <v/>
      </c>
      <c r="H43" s="12" t="n"/>
    </row>
    <row r="44">
      <c r="A44" s="2" t="n"/>
      <c r="B44" s="3">
        <f>IF($A44="","",TEXT($A44,"mmmm yyyy"))</f>
        <v/>
      </c>
      <c r="C44" s="4" t="n"/>
      <c r="D44" s="4" t="n"/>
      <c r="E44" s="5" t="n"/>
      <c r="F44" s="5" t="n"/>
      <c r="G44" s="6">
        <f>IF($A44="","",$K$3+SUM($E$2:$E44)-SUM($F$2:$F44))</f>
        <v/>
      </c>
      <c r="H44" s="4" t="n"/>
    </row>
    <row r="45">
      <c r="A45" s="10" t="n"/>
      <c r="B45" s="11">
        <f>IF($A45="","",TEXT($A45,"mmmm yyyy"))</f>
        <v/>
      </c>
      <c r="C45" s="12" t="n"/>
      <c r="D45" s="12" t="n"/>
      <c r="E45" s="13" t="n"/>
      <c r="F45" s="13" t="n"/>
      <c r="G45" s="14">
        <f>IF($A45="","",$K$3+SUM($E$2:$E45)-SUM($F$2:$F45))</f>
        <v/>
      </c>
      <c r="H45" s="12" t="n"/>
    </row>
    <row r="46">
      <c r="A46" s="2" t="n"/>
      <c r="B46" s="3">
        <f>IF($A46="","",TEXT($A46,"mmmm yyyy"))</f>
        <v/>
      </c>
      <c r="C46" s="4" t="n"/>
      <c r="D46" s="4" t="n"/>
      <c r="E46" s="5" t="n"/>
      <c r="F46" s="5" t="n"/>
      <c r="G46" s="6">
        <f>IF($A46="","",$K$3+SUM($E$2:$E46)-SUM($F$2:$F46))</f>
        <v/>
      </c>
      <c r="H46" s="4" t="n"/>
    </row>
    <row r="47">
      <c r="A47" s="10" t="n"/>
      <c r="B47" s="11">
        <f>IF($A47="","",TEXT($A47,"mmmm yyyy"))</f>
        <v/>
      </c>
      <c r="C47" s="12" t="n"/>
      <c r="D47" s="12" t="n"/>
      <c r="E47" s="13" t="n"/>
      <c r="F47" s="13" t="n"/>
      <c r="G47" s="14">
        <f>IF($A47="","",$K$3+SUM($E$2:$E47)-SUM($F$2:$F47))</f>
        <v/>
      </c>
      <c r="H47" s="12" t="n"/>
    </row>
    <row r="48">
      <c r="A48" s="2" t="n"/>
      <c r="B48" s="3">
        <f>IF($A48="","",TEXT($A48,"mmmm yyyy"))</f>
        <v/>
      </c>
      <c r="C48" s="4" t="n"/>
      <c r="D48" s="4" t="n"/>
      <c r="E48" s="5" t="n"/>
      <c r="F48" s="5" t="n"/>
      <c r="G48" s="6">
        <f>IF($A48="","",$K$3+SUM($E$2:$E48)-SUM($F$2:$F48))</f>
        <v/>
      </c>
      <c r="H48" s="4" t="n"/>
    </row>
    <row r="49">
      <c r="A49" s="10" t="n"/>
      <c r="B49" s="11">
        <f>IF($A49="","",TEXT($A49,"mmmm yyyy"))</f>
        <v/>
      </c>
      <c r="C49" s="12" t="n"/>
      <c r="D49" s="12" t="n"/>
      <c r="E49" s="13" t="n"/>
      <c r="F49" s="13" t="n"/>
      <c r="G49" s="14">
        <f>IF($A49="","",$K$3+SUM($E$2:$E49)-SUM($F$2:$F49))</f>
        <v/>
      </c>
      <c r="H49" s="12" t="n"/>
    </row>
    <row r="50">
      <c r="A50" s="2" t="n"/>
      <c r="B50" s="3">
        <f>IF($A50="","",TEXT($A50,"mmmm yyyy"))</f>
        <v/>
      </c>
      <c r="C50" s="4" t="n"/>
      <c r="D50" s="4" t="n"/>
      <c r="E50" s="5" t="n"/>
      <c r="F50" s="5" t="n"/>
      <c r="G50" s="6">
        <f>IF($A50="","",$K$3+SUM($E$2:$E50)-SUM($F$2:$F50))</f>
        <v/>
      </c>
      <c r="H50" s="4" t="n"/>
    </row>
    <row r="51">
      <c r="A51" s="10" t="n"/>
      <c r="B51" s="11">
        <f>IF($A51="","",TEXT($A51,"mmmm yyyy"))</f>
        <v/>
      </c>
      <c r="C51" s="12" t="n"/>
      <c r="D51" s="12" t="n"/>
      <c r="E51" s="13" t="n"/>
      <c r="F51" s="13" t="n"/>
      <c r="G51" s="14">
        <f>IF($A51="","",$K$3+SUM($E$2:$E51)-SUM($F$2:$F51))</f>
        <v/>
      </c>
      <c r="H51" s="12" t="n"/>
    </row>
    <row r="52">
      <c r="A52" s="2" t="n"/>
      <c r="B52" s="3">
        <f>IF($A52="","",TEXT($A52,"mmmm yyyy"))</f>
        <v/>
      </c>
      <c r="C52" s="4" t="n"/>
      <c r="D52" s="4" t="n"/>
      <c r="E52" s="5" t="n"/>
      <c r="F52" s="5" t="n"/>
      <c r="G52" s="6">
        <f>IF($A52="","",$K$3+SUM($E$2:$E52)-SUM($F$2:$F52))</f>
        <v/>
      </c>
      <c r="H52" s="4" t="n"/>
    </row>
    <row r="53">
      <c r="A53" s="10" t="n"/>
      <c r="B53" s="11">
        <f>IF($A53="","",TEXT($A53,"mmmm yyyy"))</f>
        <v/>
      </c>
      <c r="C53" s="12" t="n"/>
      <c r="D53" s="12" t="n"/>
      <c r="E53" s="13" t="n"/>
      <c r="F53" s="13" t="n"/>
      <c r="G53" s="14">
        <f>IF($A53="","",$K$3+SUM($E$2:$E53)-SUM($F$2:$F53))</f>
        <v/>
      </c>
      <c r="H53" s="12" t="n"/>
    </row>
    <row r="54">
      <c r="A54" s="2" t="n"/>
      <c r="B54" s="3">
        <f>IF($A54="","",TEXT($A54,"mmmm yyyy"))</f>
        <v/>
      </c>
      <c r="C54" s="4" t="n"/>
      <c r="D54" s="4" t="n"/>
      <c r="E54" s="5" t="n"/>
      <c r="F54" s="5" t="n"/>
      <c r="G54" s="6">
        <f>IF($A54="","",$K$3+SUM($E$2:$E54)-SUM($F$2:$F54))</f>
        <v/>
      </c>
      <c r="H54" s="4" t="n"/>
    </row>
    <row r="55">
      <c r="A55" s="10" t="n"/>
      <c r="B55" s="11">
        <f>IF($A55="","",TEXT($A55,"mmmm yyyy"))</f>
        <v/>
      </c>
      <c r="C55" s="12" t="n"/>
      <c r="D55" s="12" t="n"/>
      <c r="E55" s="13" t="n"/>
      <c r="F55" s="13" t="n"/>
      <c r="G55" s="14">
        <f>IF($A55="","",$K$3+SUM($E$2:$E55)-SUM($F$2:$F55))</f>
        <v/>
      </c>
      <c r="H55" s="12" t="n"/>
    </row>
    <row r="56">
      <c r="A56" s="2" t="n"/>
      <c r="B56" s="3">
        <f>IF($A56="","",TEXT($A56,"mmmm yyyy"))</f>
        <v/>
      </c>
      <c r="C56" s="4" t="n"/>
      <c r="D56" s="4" t="n"/>
      <c r="E56" s="5" t="n"/>
      <c r="F56" s="5" t="n"/>
      <c r="G56" s="6">
        <f>IF($A56="","",$K$3+SUM($E$2:$E56)-SUM($F$2:$F56))</f>
        <v/>
      </c>
      <c r="H56" s="4" t="n"/>
    </row>
    <row r="57">
      <c r="A57" s="10" t="n"/>
      <c r="B57" s="11">
        <f>IF($A57="","",TEXT($A57,"mmmm yyyy"))</f>
        <v/>
      </c>
      <c r="C57" s="12" t="n"/>
      <c r="D57" s="12" t="n"/>
      <c r="E57" s="13" t="n"/>
      <c r="F57" s="13" t="n"/>
      <c r="G57" s="14">
        <f>IF($A57="","",$K$3+SUM($E$2:$E57)-SUM($F$2:$F57))</f>
        <v/>
      </c>
      <c r="H57" s="12" t="n"/>
    </row>
    <row r="58">
      <c r="A58" s="2" t="n"/>
      <c r="B58" s="3">
        <f>IF($A58="","",TEXT($A58,"mmmm yyyy"))</f>
        <v/>
      </c>
      <c r="C58" s="4" t="n"/>
      <c r="D58" s="4" t="n"/>
      <c r="E58" s="5" t="n"/>
      <c r="F58" s="5" t="n"/>
      <c r="G58" s="6">
        <f>IF($A58="","",$K$3+SUM($E$2:$E58)-SUM($F$2:$F58))</f>
        <v/>
      </c>
      <c r="H58" s="4" t="n"/>
    </row>
    <row r="59">
      <c r="A59" s="10" t="n"/>
      <c r="B59" s="11">
        <f>IF($A59="","",TEXT($A59,"mmmm yyyy"))</f>
        <v/>
      </c>
      <c r="C59" s="12" t="n"/>
      <c r="D59" s="12" t="n"/>
      <c r="E59" s="13" t="n"/>
      <c r="F59" s="13" t="n"/>
      <c r="G59" s="14">
        <f>IF($A59="","",$K$3+SUM($E$2:$E59)-SUM($F$2:$F59))</f>
        <v/>
      </c>
      <c r="H59" s="12" t="n"/>
    </row>
    <row r="60">
      <c r="A60" s="2" t="n"/>
      <c r="B60" s="3">
        <f>IF($A60="","",TEXT($A60,"mmmm yyyy"))</f>
        <v/>
      </c>
      <c r="C60" s="4" t="n"/>
      <c r="D60" s="4" t="n"/>
      <c r="E60" s="5" t="n"/>
      <c r="F60" s="5" t="n"/>
      <c r="G60" s="6">
        <f>IF($A60="","",$K$3+SUM($E$2:$E60)-SUM($F$2:$F60))</f>
        <v/>
      </c>
      <c r="H60" s="4" t="n"/>
    </row>
    <row r="61">
      <c r="A61" s="10" t="n"/>
      <c r="B61" s="11">
        <f>IF($A61="","",TEXT($A61,"mmmm yyyy"))</f>
        <v/>
      </c>
      <c r="C61" s="12" t="n"/>
      <c r="D61" s="12" t="n"/>
      <c r="E61" s="13" t="n"/>
      <c r="F61" s="13" t="n"/>
      <c r="G61" s="14">
        <f>IF($A61="","",$K$3+SUM($E$2:$E61)-SUM($F$2:$F61))</f>
        <v/>
      </c>
      <c r="H61" s="12" t="n"/>
    </row>
    <row r="62">
      <c r="A62" s="2" t="n"/>
      <c r="B62" s="3">
        <f>IF($A62="","",TEXT($A62,"mmmm yyyy"))</f>
        <v/>
      </c>
      <c r="C62" s="4" t="n"/>
      <c r="D62" s="4" t="n"/>
      <c r="E62" s="5" t="n"/>
      <c r="F62" s="5" t="n"/>
      <c r="G62" s="6">
        <f>IF($A62="","",$K$3+SUM($E$2:$E62)-SUM($F$2:$F62))</f>
        <v/>
      </c>
      <c r="H62" s="4" t="n"/>
    </row>
    <row r="63">
      <c r="A63" s="10" t="n"/>
      <c r="B63" s="11">
        <f>IF($A63="","",TEXT($A63,"mmmm yyyy"))</f>
        <v/>
      </c>
      <c r="C63" s="12" t="n"/>
      <c r="D63" s="12" t="n"/>
      <c r="E63" s="13" t="n"/>
      <c r="F63" s="13" t="n"/>
      <c r="G63" s="14">
        <f>IF($A63="","",$K$3+SUM($E$2:$E63)-SUM($F$2:$F63))</f>
        <v/>
      </c>
      <c r="H63" s="12" t="n"/>
    </row>
    <row r="64">
      <c r="A64" s="2" t="n"/>
      <c r="B64" s="3">
        <f>IF($A64="","",TEXT($A64,"mmmm yyyy"))</f>
        <v/>
      </c>
      <c r="C64" s="4" t="n"/>
      <c r="D64" s="4" t="n"/>
      <c r="E64" s="5" t="n"/>
      <c r="F64" s="5" t="n"/>
      <c r="G64" s="6">
        <f>IF($A64="","",$K$3+SUM($E$2:$E64)-SUM($F$2:$F64))</f>
        <v/>
      </c>
      <c r="H64" s="4" t="n"/>
    </row>
    <row r="65">
      <c r="A65" s="10" t="n"/>
      <c r="B65" s="11">
        <f>IF($A65="","",TEXT($A65,"mmmm yyyy"))</f>
        <v/>
      </c>
      <c r="C65" s="12" t="n"/>
      <c r="D65" s="12" t="n"/>
      <c r="E65" s="13" t="n"/>
      <c r="F65" s="13" t="n"/>
      <c r="G65" s="14">
        <f>IF($A65="","",$K$3+SUM($E$2:$E65)-SUM($F$2:$F65))</f>
        <v/>
      </c>
      <c r="H65" s="12" t="n"/>
    </row>
    <row r="66">
      <c r="A66" s="2" t="n"/>
      <c r="B66" s="3">
        <f>IF($A66="","",TEXT($A66,"mmmm yyyy"))</f>
        <v/>
      </c>
      <c r="C66" s="4" t="n"/>
      <c r="D66" s="4" t="n"/>
      <c r="E66" s="5" t="n"/>
      <c r="F66" s="5" t="n"/>
      <c r="G66" s="6">
        <f>IF($A66="","",$K$3+SUM($E$2:$E66)-SUM($F$2:$F66))</f>
        <v/>
      </c>
      <c r="H66" s="4" t="n"/>
    </row>
    <row r="67">
      <c r="A67" s="10" t="n"/>
      <c r="B67" s="11">
        <f>IF($A67="","",TEXT($A67,"mmmm yyyy"))</f>
        <v/>
      </c>
      <c r="C67" s="12" t="n"/>
      <c r="D67" s="12" t="n"/>
      <c r="E67" s="13" t="n"/>
      <c r="F67" s="13" t="n"/>
      <c r="G67" s="14">
        <f>IF($A67="","",$K$3+SUM($E$2:$E67)-SUM($F$2:$F67))</f>
        <v/>
      </c>
      <c r="H67" s="12" t="n"/>
    </row>
    <row r="68">
      <c r="A68" s="2" t="n"/>
      <c r="B68" s="3">
        <f>IF($A68="","",TEXT($A68,"mmmm yyyy"))</f>
        <v/>
      </c>
      <c r="C68" s="4" t="n"/>
      <c r="D68" s="4" t="n"/>
      <c r="E68" s="5" t="n"/>
      <c r="F68" s="5" t="n"/>
      <c r="G68" s="6">
        <f>IF($A68="","",$K$3+SUM($E$2:$E68)-SUM($F$2:$F68))</f>
        <v/>
      </c>
      <c r="H68" s="4" t="n"/>
    </row>
    <row r="69">
      <c r="A69" s="10" t="n"/>
      <c r="B69" s="11">
        <f>IF($A69="","",TEXT($A69,"mmmm yyyy"))</f>
        <v/>
      </c>
      <c r="C69" s="12" t="n"/>
      <c r="D69" s="12" t="n"/>
      <c r="E69" s="13" t="n"/>
      <c r="F69" s="13" t="n"/>
      <c r="G69" s="14">
        <f>IF($A69="","",$K$3+SUM($E$2:$E69)-SUM($F$2:$F69))</f>
        <v/>
      </c>
      <c r="H69" s="12" t="n"/>
    </row>
    <row r="70">
      <c r="A70" s="2" t="n"/>
      <c r="B70" s="3">
        <f>IF($A70="","",TEXT($A70,"mmmm yyyy"))</f>
        <v/>
      </c>
      <c r="C70" s="4" t="n"/>
      <c r="D70" s="4" t="n"/>
      <c r="E70" s="5" t="n"/>
      <c r="F70" s="5" t="n"/>
      <c r="G70" s="6">
        <f>IF($A70="","",$K$3+SUM($E$2:$E70)-SUM($F$2:$F70))</f>
        <v/>
      </c>
      <c r="H70" s="4" t="n"/>
    </row>
    <row r="71">
      <c r="A71" s="10" t="n"/>
      <c r="B71" s="11">
        <f>IF($A71="","",TEXT($A71,"mmmm yyyy"))</f>
        <v/>
      </c>
      <c r="C71" s="12" t="n"/>
      <c r="D71" s="12" t="n"/>
      <c r="E71" s="13" t="n"/>
      <c r="F71" s="13" t="n"/>
      <c r="G71" s="14">
        <f>IF($A71="","",$K$3+SUM($E$2:$E71)-SUM($F$2:$F71))</f>
        <v/>
      </c>
      <c r="H71" s="12" t="n"/>
    </row>
    <row r="72">
      <c r="A72" s="2" t="n"/>
      <c r="B72" s="3">
        <f>IF($A72="","",TEXT($A72,"mmmm yyyy"))</f>
        <v/>
      </c>
      <c r="C72" s="4" t="n"/>
      <c r="D72" s="4" t="n"/>
      <c r="E72" s="5" t="n"/>
      <c r="F72" s="5" t="n"/>
      <c r="G72" s="6">
        <f>IF($A72="","",$K$3+SUM($E$2:$E72)-SUM($F$2:$F72))</f>
        <v/>
      </c>
      <c r="H72" s="4" t="n"/>
    </row>
    <row r="73">
      <c r="A73" s="10" t="n"/>
      <c r="B73" s="11">
        <f>IF($A73="","",TEXT($A73,"mmmm yyyy"))</f>
        <v/>
      </c>
      <c r="C73" s="12" t="n"/>
      <c r="D73" s="12" t="n"/>
      <c r="E73" s="13" t="n"/>
      <c r="F73" s="13" t="n"/>
      <c r="G73" s="14">
        <f>IF($A73="","",$K$3+SUM($E$2:$E73)-SUM($F$2:$F73))</f>
        <v/>
      </c>
      <c r="H73" s="12" t="n"/>
    </row>
    <row r="74">
      <c r="A74" s="2" t="n"/>
      <c r="B74" s="3">
        <f>IF($A74="","",TEXT($A74,"mmmm yyyy"))</f>
        <v/>
      </c>
      <c r="C74" s="4" t="n"/>
      <c r="D74" s="4" t="n"/>
      <c r="E74" s="5" t="n"/>
      <c r="F74" s="5" t="n"/>
      <c r="G74" s="6">
        <f>IF($A74="","",$K$3+SUM($E$2:$E74)-SUM($F$2:$F74))</f>
        <v/>
      </c>
      <c r="H74" s="4" t="n"/>
    </row>
    <row r="75">
      <c r="A75" s="10" t="n"/>
      <c r="B75" s="11">
        <f>IF($A75="","",TEXT($A75,"mmmm yyyy"))</f>
        <v/>
      </c>
      <c r="C75" s="12" t="n"/>
      <c r="D75" s="12" t="n"/>
      <c r="E75" s="13" t="n"/>
      <c r="F75" s="13" t="n"/>
      <c r="G75" s="14">
        <f>IF($A75="","",$K$3+SUM($E$2:$E75)-SUM($F$2:$F75))</f>
        <v/>
      </c>
      <c r="H75" s="12" t="n"/>
    </row>
    <row r="76">
      <c r="A76" s="2" t="n"/>
      <c r="B76" s="3">
        <f>IF($A76="","",TEXT($A76,"mmmm yyyy"))</f>
        <v/>
      </c>
      <c r="C76" s="4" t="n"/>
      <c r="D76" s="4" t="n"/>
      <c r="E76" s="5" t="n"/>
      <c r="F76" s="5" t="n"/>
      <c r="G76" s="6">
        <f>IF($A76="","",$K$3+SUM($E$2:$E76)-SUM($F$2:$F76))</f>
        <v/>
      </c>
      <c r="H76" s="4" t="n"/>
    </row>
    <row r="77">
      <c r="A77" s="10" t="n"/>
      <c r="B77" s="11">
        <f>IF($A77="","",TEXT($A77,"mmmm yyyy"))</f>
        <v/>
      </c>
      <c r="C77" s="12" t="n"/>
      <c r="D77" s="12" t="n"/>
      <c r="E77" s="13" t="n"/>
      <c r="F77" s="13" t="n"/>
      <c r="G77" s="14">
        <f>IF($A77="","",$K$3+SUM($E$2:$E77)-SUM($F$2:$F77))</f>
        <v/>
      </c>
      <c r="H77" s="12" t="n"/>
    </row>
    <row r="78">
      <c r="A78" s="2" t="n"/>
      <c r="B78" s="3">
        <f>IF($A78="","",TEXT($A78,"mmmm yyyy"))</f>
        <v/>
      </c>
      <c r="C78" s="4" t="n"/>
      <c r="D78" s="4" t="n"/>
      <c r="E78" s="5" t="n"/>
      <c r="F78" s="5" t="n"/>
      <c r="G78" s="6">
        <f>IF($A78="","",$K$3+SUM($E$2:$E78)-SUM($F$2:$F78))</f>
        <v/>
      </c>
      <c r="H78" s="4" t="n"/>
    </row>
    <row r="79">
      <c r="A79" s="10" t="n"/>
      <c r="B79" s="11">
        <f>IF($A79="","",TEXT($A79,"mmmm yyyy"))</f>
        <v/>
      </c>
      <c r="C79" s="12" t="n"/>
      <c r="D79" s="12" t="n"/>
      <c r="E79" s="13" t="n"/>
      <c r="F79" s="13" t="n"/>
      <c r="G79" s="14">
        <f>IF($A79="","",$K$3+SUM($E$2:$E79)-SUM($F$2:$F79))</f>
        <v/>
      </c>
      <c r="H79" s="12" t="n"/>
    </row>
    <row r="80">
      <c r="A80" s="2" t="n"/>
      <c r="B80" s="3">
        <f>IF($A80="","",TEXT($A80,"mmmm yyyy"))</f>
        <v/>
      </c>
      <c r="C80" s="4" t="n"/>
      <c r="D80" s="4" t="n"/>
      <c r="E80" s="5" t="n"/>
      <c r="F80" s="5" t="n"/>
      <c r="G80" s="6">
        <f>IF($A80="","",$K$3+SUM($E$2:$E80)-SUM($F$2:$F80))</f>
        <v/>
      </c>
      <c r="H80" s="4" t="n"/>
    </row>
    <row r="81">
      <c r="A81" s="10" t="n"/>
      <c r="B81" s="11">
        <f>IF($A81="","",TEXT($A81,"mmmm yyyy"))</f>
        <v/>
      </c>
      <c r="C81" s="12" t="n"/>
      <c r="D81" s="12" t="n"/>
      <c r="E81" s="13" t="n"/>
      <c r="F81" s="13" t="n"/>
      <c r="G81" s="14">
        <f>IF($A81="","",$K$3+SUM($E$2:$E81)-SUM($F$2:$F81))</f>
        <v/>
      </c>
      <c r="H81" s="12" t="n"/>
    </row>
    <row r="82">
      <c r="A82" s="2" t="n"/>
      <c r="B82" s="3">
        <f>IF($A82="","",TEXT($A82,"mmmm yyyy"))</f>
        <v/>
      </c>
      <c r="C82" s="4" t="n"/>
      <c r="D82" s="4" t="n"/>
      <c r="E82" s="5" t="n"/>
      <c r="F82" s="5" t="n"/>
      <c r="G82" s="6">
        <f>IF($A82="","",$K$3+SUM($E$2:$E82)-SUM($F$2:$F82))</f>
        <v/>
      </c>
      <c r="H82" s="4" t="n"/>
    </row>
    <row r="83">
      <c r="A83" s="10" t="n"/>
      <c r="B83" s="11">
        <f>IF($A83="","",TEXT($A83,"mmmm yyyy"))</f>
        <v/>
      </c>
      <c r="C83" s="12" t="n"/>
      <c r="D83" s="12" t="n"/>
      <c r="E83" s="13" t="n"/>
      <c r="F83" s="13" t="n"/>
      <c r="G83" s="14">
        <f>IF($A83="","",$K$3+SUM($E$2:$E83)-SUM($F$2:$F83))</f>
        <v/>
      </c>
      <c r="H83" s="12" t="n"/>
    </row>
    <row r="84">
      <c r="A84" s="2" t="n"/>
      <c r="B84" s="3">
        <f>IF($A84="","",TEXT($A84,"mmmm yyyy"))</f>
        <v/>
      </c>
      <c r="C84" s="4" t="n"/>
      <c r="D84" s="4" t="n"/>
      <c r="E84" s="5" t="n"/>
      <c r="F84" s="5" t="n"/>
      <c r="G84" s="6">
        <f>IF($A84="","",$K$3+SUM($E$2:$E84)-SUM($F$2:$F84))</f>
        <v/>
      </c>
      <c r="H84" s="4" t="n"/>
    </row>
    <row r="85">
      <c r="A85" s="10" t="n"/>
      <c r="B85" s="11">
        <f>IF($A85="","",TEXT($A85,"mmmm yyyy"))</f>
        <v/>
      </c>
      <c r="C85" s="12" t="n"/>
      <c r="D85" s="12" t="n"/>
      <c r="E85" s="13" t="n"/>
      <c r="F85" s="13" t="n"/>
      <c r="G85" s="14">
        <f>IF($A85="","",$K$3+SUM($E$2:$E85)-SUM($F$2:$F85))</f>
        <v/>
      </c>
      <c r="H85" s="12" t="n"/>
    </row>
    <row r="86">
      <c r="A86" s="2" t="n"/>
      <c r="B86" s="3">
        <f>IF($A86="","",TEXT($A86,"mmmm yyyy"))</f>
        <v/>
      </c>
      <c r="C86" s="4" t="n"/>
      <c r="D86" s="4" t="n"/>
      <c r="E86" s="5" t="n"/>
      <c r="F86" s="5" t="n"/>
      <c r="G86" s="6">
        <f>IF($A86="","",$K$3+SUM($E$2:$E86)-SUM($F$2:$F86))</f>
        <v/>
      </c>
      <c r="H86" s="4" t="n"/>
    </row>
    <row r="87">
      <c r="A87" s="10" t="n"/>
      <c r="B87" s="11">
        <f>IF($A87="","",TEXT($A87,"mmmm yyyy"))</f>
        <v/>
      </c>
      <c r="C87" s="12" t="n"/>
      <c r="D87" s="12" t="n"/>
      <c r="E87" s="13" t="n"/>
      <c r="F87" s="13" t="n"/>
      <c r="G87" s="14">
        <f>IF($A87="","",$K$3+SUM($E$2:$E87)-SUM($F$2:$F87))</f>
        <v/>
      </c>
      <c r="H87" s="12" t="n"/>
    </row>
    <row r="88">
      <c r="A88" s="2" t="n"/>
      <c r="B88" s="3">
        <f>IF($A88="","",TEXT($A88,"mmmm yyyy"))</f>
        <v/>
      </c>
      <c r="C88" s="4" t="n"/>
      <c r="D88" s="4" t="n"/>
      <c r="E88" s="5" t="n"/>
      <c r="F88" s="5" t="n"/>
      <c r="G88" s="6">
        <f>IF($A88="","",$K$3+SUM($E$2:$E88)-SUM($F$2:$F88))</f>
        <v/>
      </c>
      <c r="H88" s="4" t="n"/>
    </row>
    <row r="89">
      <c r="A89" s="10" t="n"/>
      <c r="B89" s="11">
        <f>IF($A89="","",TEXT($A89,"mmmm yyyy"))</f>
        <v/>
      </c>
      <c r="C89" s="12" t="n"/>
      <c r="D89" s="12" t="n"/>
      <c r="E89" s="13" t="n"/>
      <c r="F89" s="13" t="n"/>
      <c r="G89" s="14">
        <f>IF($A89="","",$K$3+SUM($E$2:$E89)-SUM($F$2:$F89))</f>
        <v/>
      </c>
      <c r="H89" s="12" t="n"/>
    </row>
    <row r="90">
      <c r="A90" s="2" t="n"/>
      <c r="B90" s="3">
        <f>IF($A90="","",TEXT($A90,"mmmm yyyy"))</f>
        <v/>
      </c>
      <c r="C90" s="4" t="n"/>
      <c r="D90" s="4" t="n"/>
      <c r="E90" s="5" t="n"/>
      <c r="F90" s="5" t="n"/>
      <c r="G90" s="6">
        <f>IF($A90="","",$K$3+SUM($E$2:$E90)-SUM($F$2:$F90))</f>
        <v/>
      </c>
      <c r="H90" s="4" t="n"/>
    </row>
    <row r="91">
      <c r="A91" s="10" t="n"/>
      <c r="B91" s="11">
        <f>IF($A91="","",TEXT($A91,"mmmm yyyy"))</f>
        <v/>
      </c>
      <c r="C91" s="12" t="n"/>
      <c r="D91" s="12" t="n"/>
      <c r="E91" s="13" t="n"/>
      <c r="F91" s="13" t="n"/>
      <c r="G91" s="14">
        <f>IF($A91="","",$K$3+SUM($E$2:$E91)-SUM($F$2:$F91))</f>
        <v/>
      </c>
      <c r="H91" s="12" t="n"/>
    </row>
    <row r="92">
      <c r="A92" s="2" t="n"/>
      <c r="B92" s="3">
        <f>IF($A92="","",TEXT($A92,"mmmm yyyy"))</f>
        <v/>
      </c>
      <c r="C92" s="4" t="n"/>
      <c r="D92" s="4" t="n"/>
      <c r="E92" s="5" t="n"/>
      <c r="F92" s="5" t="n"/>
      <c r="G92" s="6">
        <f>IF($A92="","",$K$3+SUM($E$2:$E92)-SUM($F$2:$F92))</f>
        <v/>
      </c>
      <c r="H92" s="4" t="n"/>
    </row>
    <row r="93">
      <c r="A93" s="10" t="n"/>
      <c r="B93" s="11">
        <f>IF($A93="","",TEXT($A93,"mmmm yyyy"))</f>
        <v/>
      </c>
      <c r="C93" s="12" t="n"/>
      <c r="D93" s="12" t="n"/>
      <c r="E93" s="13" t="n"/>
      <c r="F93" s="13" t="n"/>
      <c r="G93" s="14">
        <f>IF($A93="","",$K$3+SUM($E$2:$E93)-SUM($F$2:$F93))</f>
        <v/>
      </c>
      <c r="H93" s="12" t="n"/>
    </row>
    <row r="94">
      <c r="A94" s="2" t="n"/>
      <c r="B94" s="3">
        <f>IF($A94="","",TEXT($A94,"mmmm yyyy"))</f>
        <v/>
      </c>
      <c r="C94" s="4" t="n"/>
      <c r="D94" s="4" t="n"/>
      <c r="E94" s="5" t="n"/>
      <c r="F94" s="5" t="n"/>
      <c r="G94" s="6">
        <f>IF($A94="","",$K$3+SUM($E$2:$E94)-SUM($F$2:$F94))</f>
        <v/>
      </c>
      <c r="H94" s="4" t="n"/>
    </row>
    <row r="95">
      <c r="A95" s="10" t="n"/>
      <c r="B95" s="11">
        <f>IF($A95="","",TEXT($A95,"mmmm yyyy"))</f>
        <v/>
      </c>
      <c r="C95" s="12" t="n"/>
      <c r="D95" s="12" t="n"/>
      <c r="E95" s="13" t="n"/>
      <c r="F95" s="13" t="n"/>
      <c r="G95" s="14">
        <f>IF($A95="","",$K$3+SUM($E$2:$E95)-SUM($F$2:$F95))</f>
        <v/>
      </c>
      <c r="H95" s="12" t="n"/>
    </row>
    <row r="96">
      <c r="A96" s="2" t="n"/>
      <c r="B96" s="3">
        <f>IF($A96="","",TEXT($A96,"mmmm yyyy"))</f>
        <v/>
      </c>
      <c r="C96" s="4" t="n"/>
      <c r="D96" s="4" t="n"/>
      <c r="E96" s="5" t="n"/>
      <c r="F96" s="5" t="n"/>
      <c r="G96" s="6">
        <f>IF($A96="","",$K$3+SUM($E$2:$E96)-SUM($F$2:$F96))</f>
        <v/>
      </c>
      <c r="H96" s="4" t="n"/>
    </row>
    <row r="97">
      <c r="A97" s="10" t="n"/>
      <c r="B97" s="11">
        <f>IF($A97="","",TEXT($A97,"mmmm yyyy"))</f>
        <v/>
      </c>
      <c r="C97" s="12" t="n"/>
      <c r="D97" s="12" t="n"/>
      <c r="E97" s="13" t="n"/>
      <c r="F97" s="13" t="n"/>
      <c r="G97" s="14">
        <f>IF($A97="","",$K$3+SUM($E$2:$E97)-SUM($F$2:$F97))</f>
        <v/>
      </c>
      <c r="H97" s="12" t="n"/>
    </row>
    <row r="98">
      <c r="A98" s="2" t="n"/>
      <c r="B98" s="3">
        <f>IF($A98="","",TEXT($A98,"mmmm yyyy"))</f>
        <v/>
      </c>
      <c r="C98" s="4" t="n"/>
      <c r="D98" s="4" t="n"/>
      <c r="E98" s="5" t="n"/>
      <c r="F98" s="5" t="n"/>
      <c r="G98" s="6">
        <f>IF($A98="","",$K$3+SUM($E$2:$E98)-SUM($F$2:$F98))</f>
        <v/>
      </c>
      <c r="H98" s="4" t="n"/>
    </row>
    <row r="99">
      <c r="A99" s="10" t="n"/>
      <c r="B99" s="11">
        <f>IF($A99="","",TEXT($A99,"mmmm yyyy"))</f>
        <v/>
      </c>
      <c r="C99" s="12" t="n"/>
      <c r="D99" s="12" t="n"/>
      <c r="E99" s="13" t="n"/>
      <c r="F99" s="13" t="n"/>
      <c r="G99" s="14">
        <f>IF($A99="","",$K$3+SUM($E$2:$E99)-SUM($F$2:$F99))</f>
        <v/>
      </c>
      <c r="H99" s="12" t="n"/>
    </row>
    <row r="100">
      <c r="A100" s="2" t="n"/>
      <c r="B100" s="3">
        <f>IF($A100="","",TEXT($A100,"mmmm yyyy"))</f>
        <v/>
      </c>
      <c r="C100" s="4" t="n"/>
      <c r="D100" s="4" t="n"/>
      <c r="E100" s="5" t="n"/>
      <c r="F100" s="5" t="n"/>
      <c r="G100" s="6">
        <f>IF($A100="","",$K$3+SUM($E$2:$E100)-SUM($F$2:$F100))</f>
        <v/>
      </c>
      <c r="H100" s="4" t="n"/>
    </row>
    <row r="101">
      <c r="A101" s="10" t="n"/>
      <c r="B101" s="11">
        <f>IF($A101="","",TEXT($A101,"mmmm yyyy"))</f>
        <v/>
      </c>
      <c r="C101" s="12" t="n"/>
      <c r="D101" s="12" t="n"/>
      <c r="E101" s="13" t="n"/>
      <c r="F101" s="13" t="n"/>
      <c r="G101" s="14">
        <f>IF($A101="","",$K$3+SUM($E$2:$E101)-SUM($F$2:$F101))</f>
        <v/>
      </c>
      <c r="H101" s="12" t="n"/>
    </row>
    <row r="102">
      <c r="A102" s="2" t="n"/>
      <c r="B102" s="3">
        <f>IF($A102="","",TEXT($A102,"mmmm yyyy"))</f>
        <v/>
      </c>
      <c r="C102" s="4" t="n"/>
      <c r="D102" s="4" t="n"/>
      <c r="E102" s="5" t="n"/>
      <c r="F102" s="5" t="n"/>
      <c r="G102" s="6">
        <f>IF($A102="","",$K$3+SUM($E$2:$E102)-SUM($F$2:$F102))</f>
        <v/>
      </c>
      <c r="H102" s="4" t="n"/>
    </row>
    <row r="103">
      <c r="A103" s="10" t="n"/>
      <c r="B103" s="11">
        <f>IF($A103="","",TEXT($A103,"mmmm yyyy"))</f>
        <v/>
      </c>
      <c r="C103" s="12" t="n"/>
      <c r="D103" s="12" t="n"/>
      <c r="E103" s="13" t="n"/>
      <c r="F103" s="13" t="n"/>
      <c r="G103" s="14">
        <f>IF($A103="","",$K$3+SUM($E$2:$E103)-SUM($F$2:$F103))</f>
        <v/>
      </c>
      <c r="H103" s="12" t="n"/>
    </row>
    <row r="104">
      <c r="A104" s="2" t="n"/>
      <c r="B104" s="3">
        <f>IF($A104="","",TEXT($A104,"mmmm yyyy"))</f>
        <v/>
      </c>
      <c r="C104" s="4" t="n"/>
      <c r="D104" s="4" t="n"/>
      <c r="E104" s="5" t="n"/>
      <c r="F104" s="5" t="n"/>
      <c r="G104" s="6">
        <f>IF($A104="","",$K$3+SUM($E$2:$E104)-SUM($F$2:$F104))</f>
        <v/>
      </c>
      <c r="H104" s="4" t="n"/>
    </row>
    <row r="105">
      <c r="A105" s="10" t="n"/>
      <c r="B105" s="11">
        <f>IF($A105="","",TEXT($A105,"mmmm yyyy"))</f>
        <v/>
      </c>
      <c r="C105" s="12" t="n"/>
      <c r="D105" s="12" t="n"/>
      <c r="E105" s="13" t="n"/>
      <c r="F105" s="13" t="n"/>
      <c r="G105" s="14">
        <f>IF($A105="","",$K$3+SUM($E$2:$E105)-SUM($F$2:$F105))</f>
        <v/>
      </c>
      <c r="H105" s="12" t="n"/>
    </row>
    <row r="106">
      <c r="A106" s="2" t="n"/>
      <c r="B106" s="3">
        <f>IF($A106="","",TEXT($A106,"mmmm yyyy"))</f>
        <v/>
      </c>
      <c r="C106" s="4" t="n"/>
      <c r="D106" s="4" t="n"/>
      <c r="E106" s="5" t="n"/>
      <c r="F106" s="5" t="n"/>
      <c r="G106" s="6">
        <f>IF($A106="","",$K$3+SUM($E$2:$E106)-SUM($F$2:$F106))</f>
        <v/>
      </c>
      <c r="H106" s="4" t="n"/>
    </row>
    <row r="107">
      <c r="A107" s="10" t="n"/>
      <c r="B107" s="11">
        <f>IF($A107="","",TEXT($A107,"mmmm yyyy"))</f>
        <v/>
      </c>
      <c r="C107" s="12" t="n"/>
      <c r="D107" s="12" t="n"/>
      <c r="E107" s="13" t="n"/>
      <c r="F107" s="13" t="n"/>
      <c r="G107" s="14">
        <f>IF($A107="","",$K$3+SUM($E$2:$E107)-SUM($F$2:$F107))</f>
        <v/>
      </c>
      <c r="H107" s="12" t="n"/>
    </row>
    <row r="108">
      <c r="A108" s="2" t="n"/>
      <c r="B108" s="3">
        <f>IF($A108="","",TEXT($A108,"mmmm yyyy"))</f>
        <v/>
      </c>
      <c r="C108" s="4" t="n"/>
      <c r="D108" s="4" t="n"/>
      <c r="E108" s="5" t="n"/>
      <c r="F108" s="5" t="n"/>
      <c r="G108" s="6">
        <f>IF($A108="","",$K$3+SUM($E$2:$E108)-SUM($F$2:$F108))</f>
        <v/>
      </c>
      <c r="H108" s="4" t="n"/>
    </row>
    <row r="109">
      <c r="A109" s="10" t="n"/>
      <c r="B109" s="11">
        <f>IF($A109="","",TEXT($A109,"mmmm yyyy"))</f>
        <v/>
      </c>
      <c r="C109" s="12" t="n"/>
      <c r="D109" s="12" t="n"/>
      <c r="E109" s="13" t="n"/>
      <c r="F109" s="13" t="n"/>
      <c r="G109" s="14">
        <f>IF($A109="","",$K$3+SUM($E$2:$E109)-SUM($F$2:$F109))</f>
        <v/>
      </c>
      <c r="H109" s="12" t="n"/>
    </row>
    <row r="110">
      <c r="A110" s="2" t="n"/>
      <c r="B110" s="3">
        <f>IF($A110="","",TEXT($A110,"mmmm yyyy"))</f>
        <v/>
      </c>
      <c r="C110" s="4" t="n"/>
      <c r="D110" s="4" t="n"/>
      <c r="E110" s="5" t="n"/>
      <c r="F110" s="5" t="n"/>
      <c r="G110" s="6">
        <f>IF($A110="","",$K$3+SUM($E$2:$E110)-SUM($F$2:$F110))</f>
        <v/>
      </c>
      <c r="H110" s="4" t="n"/>
    </row>
    <row r="111">
      <c r="A111" s="10" t="n"/>
      <c r="B111" s="11">
        <f>IF($A111="","",TEXT($A111,"mmmm yyyy"))</f>
        <v/>
      </c>
      <c r="C111" s="12" t="n"/>
      <c r="D111" s="12" t="n"/>
      <c r="E111" s="13" t="n"/>
      <c r="F111" s="13" t="n"/>
      <c r="G111" s="14">
        <f>IF($A111="","",$K$3+SUM($E$2:$E111)-SUM($F$2:$F111))</f>
        <v/>
      </c>
      <c r="H111" s="12" t="n"/>
    </row>
    <row r="112">
      <c r="A112" s="2" t="n"/>
      <c r="B112" s="3">
        <f>IF($A112="","",TEXT($A112,"mmmm yyyy"))</f>
        <v/>
      </c>
      <c r="C112" s="4" t="n"/>
      <c r="D112" s="4" t="n"/>
      <c r="E112" s="5" t="n"/>
      <c r="F112" s="5" t="n"/>
      <c r="G112" s="6">
        <f>IF($A112="","",$K$3+SUM($E$2:$E112)-SUM($F$2:$F112))</f>
        <v/>
      </c>
      <c r="H112" s="4" t="n"/>
    </row>
    <row r="113">
      <c r="A113" s="10" t="n"/>
      <c r="B113" s="11">
        <f>IF($A113="","",TEXT($A113,"mmmm yyyy"))</f>
        <v/>
      </c>
      <c r="C113" s="12" t="n"/>
      <c r="D113" s="12" t="n"/>
      <c r="E113" s="13" t="n"/>
      <c r="F113" s="13" t="n"/>
      <c r="G113" s="14">
        <f>IF($A113="","",$K$3+SUM($E$2:$E113)-SUM($F$2:$F113))</f>
        <v/>
      </c>
      <c r="H113" s="12" t="n"/>
    </row>
    <row r="114">
      <c r="A114" s="2" t="n"/>
      <c r="B114" s="3">
        <f>IF($A114="","",TEXT($A114,"mmmm yyyy"))</f>
        <v/>
      </c>
      <c r="C114" s="4" t="n"/>
      <c r="D114" s="4" t="n"/>
      <c r="E114" s="5" t="n"/>
      <c r="F114" s="5" t="n"/>
      <c r="G114" s="6">
        <f>IF($A114="","",$K$3+SUM($E$2:$E114)-SUM($F$2:$F114))</f>
        <v/>
      </c>
      <c r="H114" s="4" t="n"/>
    </row>
    <row r="115">
      <c r="A115" s="10" t="n"/>
      <c r="B115" s="11">
        <f>IF($A115="","",TEXT($A115,"mmmm yyyy"))</f>
        <v/>
      </c>
      <c r="C115" s="12" t="n"/>
      <c r="D115" s="12" t="n"/>
      <c r="E115" s="13" t="n"/>
      <c r="F115" s="13" t="n"/>
      <c r="G115" s="14">
        <f>IF($A115="","",$K$3+SUM($E$2:$E115)-SUM($F$2:$F115))</f>
        <v/>
      </c>
      <c r="H115" s="12" t="n"/>
    </row>
    <row r="116">
      <c r="A116" s="2" t="n"/>
      <c r="B116" s="3">
        <f>IF($A116="","",TEXT($A116,"mmmm yyyy"))</f>
        <v/>
      </c>
      <c r="C116" s="4" t="n"/>
      <c r="D116" s="4" t="n"/>
      <c r="E116" s="5" t="n"/>
      <c r="F116" s="5" t="n"/>
      <c r="G116" s="6">
        <f>IF($A116="","",$K$3+SUM($E$2:$E116)-SUM($F$2:$F116))</f>
        <v/>
      </c>
      <c r="H116" s="4" t="n"/>
    </row>
    <row r="117">
      <c r="A117" s="10" t="n"/>
      <c r="B117" s="11">
        <f>IF($A117="","",TEXT($A117,"mmmm yyyy"))</f>
        <v/>
      </c>
      <c r="C117" s="12" t="n"/>
      <c r="D117" s="12" t="n"/>
      <c r="E117" s="13" t="n"/>
      <c r="F117" s="13" t="n"/>
      <c r="G117" s="14">
        <f>IF($A117="","",$K$3+SUM($E$2:$E117)-SUM($F$2:$F117))</f>
        <v/>
      </c>
      <c r="H117" s="12" t="n"/>
    </row>
    <row r="118">
      <c r="A118" s="2" t="n"/>
      <c r="B118" s="3">
        <f>IF($A118="","",TEXT($A118,"mmmm yyyy"))</f>
        <v/>
      </c>
      <c r="C118" s="4" t="n"/>
      <c r="D118" s="4" t="n"/>
      <c r="E118" s="5" t="n"/>
      <c r="F118" s="5" t="n"/>
      <c r="G118" s="6">
        <f>IF($A118="","",$K$3+SUM($E$2:$E118)-SUM($F$2:$F118))</f>
        <v/>
      </c>
      <c r="H118" s="4" t="n"/>
    </row>
    <row r="119">
      <c r="A119" s="10" t="n"/>
      <c r="B119" s="11">
        <f>IF($A119="","",TEXT($A119,"mmmm yyyy"))</f>
        <v/>
      </c>
      <c r="C119" s="12" t="n"/>
      <c r="D119" s="12" t="n"/>
      <c r="E119" s="13" t="n"/>
      <c r="F119" s="13" t="n"/>
      <c r="G119" s="14">
        <f>IF($A119="","",$K$3+SUM($E$2:$E119)-SUM($F$2:$F119))</f>
        <v/>
      </c>
      <c r="H119" s="12" t="n"/>
    </row>
    <row r="120">
      <c r="A120" s="2" t="n"/>
      <c r="B120" s="3">
        <f>IF($A120="","",TEXT($A120,"mmmm yyyy"))</f>
        <v/>
      </c>
      <c r="C120" s="4" t="n"/>
      <c r="D120" s="4" t="n"/>
      <c r="E120" s="5" t="n"/>
      <c r="F120" s="5" t="n"/>
      <c r="G120" s="6">
        <f>IF($A120="","",$K$3+SUM($E$2:$E120)-SUM($F$2:$F120))</f>
        <v/>
      </c>
      <c r="H120" s="4" t="n"/>
    </row>
    <row r="121">
      <c r="A121" s="10" t="n"/>
      <c r="B121" s="11">
        <f>IF($A121="","",TEXT($A121,"mmmm yyyy"))</f>
        <v/>
      </c>
      <c r="C121" s="12" t="n"/>
      <c r="D121" s="12" t="n"/>
      <c r="E121" s="13" t="n"/>
      <c r="F121" s="13" t="n"/>
      <c r="G121" s="14">
        <f>IF($A121="","",$K$3+SUM($E$2:$E121)-SUM($F$2:$F121))</f>
        <v/>
      </c>
      <c r="H121" s="12" t="n"/>
    </row>
    <row r="122">
      <c r="A122" s="2" t="n"/>
      <c r="B122" s="3">
        <f>IF($A122="","",TEXT($A122,"mmmm yyyy"))</f>
        <v/>
      </c>
      <c r="C122" s="4" t="n"/>
      <c r="D122" s="4" t="n"/>
      <c r="E122" s="5" t="n"/>
      <c r="F122" s="5" t="n"/>
      <c r="G122" s="6">
        <f>IF($A122="","",$K$3+SUM($E$2:$E122)-SUM($F$2:$F122))</f>
        <v/>
      </c>
      <c r="H122" s="4" t="n"/>
    </row>
    <row r="123">
      <c r="A123" s="10" t="n"/>
      <c r="B123" s="11">
        <f>IF($A123="","",TEXT($A123,"mmmm yyyy"))</f>
        <v/>
      </c>
      <c r="C123" s="12" t="n"/>
      <c r="D123" s="12" t="n"/>
      <c r="E123" s="13" t="n"/>
      <c r="F123" s="13" t="n"/>
      <c r="G123" s="14">
        <f>IF($A123="","",$K$3+SUM($E$2:$E123)-SUM($F$2:$F123))</f>
        <v/>
      </c>
      <c r="H123" s="12" t="n"/>
    </row>
    <row r="124">
      <c r="A124" s="2" t="n"/>
      <c r="B124" s="3">
        <f>IF($A124="","",TEXT($A124,"mmmm yyyy"))</f>
        <v/>
      </c>
      <c r="C124" s="4" t="n"/>
      <c r="D124" s="4" t="n"/>
      <c r="E124" s="5" t="n"/>
      <c r="F124" s="5" t="n"/>
      <c r="G124" s="6">
        <f>IF($A124="","",$K$3+SUM($E$2:$E124)-SUM($F$2:$F124))</f>
        <v/>
      </c>
      <c r="H124" s="4" t="n"/>
    </row>
    <row r="125">
      <c r="A125" s="10" t="n"/>
      <c r="B125" s="11">
        <f>IF($A125="","",TEXT($A125,"mmmm yyyy"))</f>
        <v/>
      </c>
      <c r="C125" s="12" t="n"/>
      <c r="D125" s="12" t="n"/>
      <c r="E125" s="13" t="n"/>
      <c r="F125" s="13" t="n"/>
      <c r="G125" s="14">
        <f>IF($A125="","",$K$3+SUM($E$2:$E125)-SUM($F$2:$F125))</f>
        <v/>
      </c>
      <c r="H125" s="12" t="n"/>
    </row>
    <row r="126">
      <c r="A126" s="2" t="n"/>
      <c r="B126" s="3">
        <f>IF($A126="","",TEXT($A126,"mmmm yyyy"))</f>
        <v/>
      </c>
      <c r="C126" s="4" t="n"/>
      <c r="D126" s="4" t="n"/>
      <c r="E126" s="5" t="n"/>
      <c r="F126" s="5" t="n"/>
      <c r="G126" s="6">
        <f>IF($A126="","",$K$3+SUM($E$2:$E126)-SUM($F$2:$F126))</f>
        <v/>
      </c>
      <c r="H126" s="4" t="n"/>
    </row>
    <row r="127">
      <c r="A127" s="10" t="n"/>
      <c r="B127" s="11">
        <f>IF($A127="","",TEXT($A127,"mmmm yyyy"))</f>
        <v/>
      </c>
      <c r="C127" s="12" t="n"/>
      <c r="D127" s="12" t="n"/>
      <c r="E127" s="13" t="n"/>
      <c r="F127" s="13" t="n"/>
      <c r="G127" s="14">
        <f>IF($A127="","",$K$3+SUM($E$2:$E127)-SUM($F$2:$F127))</f>
        <v/>
      </c>
      <c r="H127" s="12" t="n"/>
    </row>
    <row r="128">
      <c r="A128" s="2" t="n"/>
      <c r="B128" s="3">
        <f>IF($A128="","",TEXT($A128,"mmmm yyyy"))</f>
        <v/>
      </c>
      <c r="C128" s="4" t="n"/>
      <c r="D128" s="4" t="n"/>
      <c r="E128" s="5" t="n"/>
      <c r="F128" s="5" t="n"/>
      <c r="G128" s="6">
        <f>IF($A128="","",$K$3+SUM($E$2:$E128)-SUM($F$2:$F128))</f>
        <v/>
      </c>
      <c r="H128" s="4" t="n"/>
    </row>
    <row r="129">
      <c r="A129" s="10" t="n"/>
      <c r="B129" s="11">
        <f>IF($A129="","",TEXT($A129,"mmmm yyyy"))</f>
        <v/>
      </c>
      <c r="C129" s="12" t="n"/>
      <c r="D129" s="12" t="n"/>
      <c r="E129" s="13" t="n"/>
      <c r="F129" s="13" t="n"/>
      <c r="G129" s="14">
        <f>IF($A129="","",$K$3+SUM($E$2:$E129)-SUM($F$2:$F129))</f>
        <v/>
      </c>
      <c r="H129" s="12" t="n"/>
    </row>
    <row r="130">
      <c r="A130" s="2" t="n"/>
      <c r="B130" s="3">
        <f>IF($A130="","",TEXT($A130,"mmmm yyyy"))</f>
        <v/>
      </c>
      <c r="C130" s="4" t="n"/>
      <c r="D130" s="4" t="n"/>
      <c r="E130" s="5" t="n"/>
      <c r="F130" s="5" t="n"/>
      <c r="G130" s="6">
        <f>IF($A130="","",$K$3+SUM($E$2:$E130)-SUM($F$2:$F130))</f>
        <v/>
      </c>
      <c r="H130" s="4" t="n"/>
    </row>
    <row r="131">
      <c r="A131" s="10" t="n"/>
      <c r="B131" s="11">
        <f>IF($A131="","",TEXT($A131,"mmmm yyyy"))</f>
        <v/>
      </c>
      <c r="C131" s="12" t="n"/>
      <c r="D131" s="12" t="n"/>
      <c r="E131" s="13" t="n"/>
      <c r="F131" s="13" t="n"/>
      <c r="G131" s="14">
        <f>IF($A131="","",$K$3+SUM($E$2:$E131)-SUM($F$2:$F131))</f>
        <v/>
      </c>
      <c r="H131" s="12" t="n"/>
    </row>
    <row r="132">
      <c r="A132" s="2" t="n"/>
      <c r="B132" s="3">
        <f>IF($A132="","",TEXT($A132,"mmmm yyyy"))</f>
        <v/>
      </c>
      <c r="C132" s="4" t="n"/>
      <c r="D132" s="4" t="n"/>
      <c r="E132" s="5" t="n"/>
      <c r="F132" s="5" t="n"/>
      <c r="G132" s="6">
        <f>IF($A132="","",$K$3+SUM($E$2:$E132)-SUM($F$2:$F132))</f>
        <v/>
      </c>
      <c r="H132" s="4" t="n"/>
    </row>
    <row r="133">
      <c r="A133" s="10" t="n"/>
      <c r="B133" s="11">
        <f>IF($A133="","",TEXT($A133,"mmmm yyyy"))</f>
        <v/>
      </c>
      <c r="C133" s="12" t="n"/>
      <c r="D133" s="12" t="n"/>
      <c r="E133" s="13" t="n"/>
      <c r="F133" s="13" t="n"/>
      <c r="G133" s="14">
        <f>IF($A133="","",$K$3+SUM($E$2:$E133)-SUM($F$2:$F133))</f>
        <v/>
      </c>
      <c r="H133" s="12" t="n"/>
    </row>
    <row r="134">
      <c r="A134" s="2" t="n"/>
      <c r="B134" s="3">
        <f>IF($A134="","",TEXT($A134,"mmmm yyyy"))</f>
        <v/>
      </c>
      <c r="C134" s="4" t="n"/>
      <c r="D134" s="4" t="n"/>
      <c r="E134" s="5" t="n"/>
      <c r="F134" s="5" t="n"/>
      <c r="G134" s="6">
        <f>IF($A134="","",$K$3+SUM($E$2:$E134)-SUM($F$2:$F134))</f>
        <v/>
      </c>
      <c r="H134" s="4" t="n"/>
    </row>
    <row r="135">
      <c r="A135" s="10" t="n"/>
      <c r="B135" s="11">
        <f>IF($A135="","",TEXT($A135,"mmmm yyyy"))</f>
        <v/>
      </c>
      <c r="C135" s="12" t="n"/>
      <c r="D135" s="12" t="n"/>
      <c r="E135" s="13" t="n"/>
      <c r="F135" s="13" t="n"/>
      <c r="G135" s="14">
        <f>IF($A135="","",$K$3+SUM($E$2:$E135)-SUM($F$2:$F135))</f>
        <v/>
      </c>
      <c r="H135" s="12" t="n"/>
    </row>
    <row r="136">
      <c r="A136" s="2" t="n"/>
      <c r="B136" s="3">
        <f>IF($A136="","",TEXT($A136,"mmmm yyyy"))</f>
        <v/>
      </c>
      <c r="C136" s="4" t="n"/>
      <c r="D136" s="4" t="n"/>
      <c r="E136" s="5" t="n"/>
      <c r="F136" s="5" t="n"/>
      <c r="G136" s="6">
        <f>IF($A136="","",$K$3+SUM($E$2:$E136)-SUM($F$2:$F136))</f>
        <v/>
      </c>
      <c r="H136" s="4" t="n"/>
    </row>
    <row r="137">
      <c r="A137" s="10" t="n"/>
      <c r="B137" s="11">
        <f>IF($A137="","",TEXT($A137,"mmmm yyyy"))</f>
        <v/>
      </c>
      <c r="C137" s="12" t="n"/>
      <c r="D137" s="12" t="n"/>
      <c r="E137" s="13" t="n"/>
      <c r="F137" s="13" t="n"/>
      <c r="G137" s="14">
        <f>IF($A137="","",$K$3+SUM($E$2:$E137)-SUM($F$2:$F137))</f>
        <v/>
      </c>
      <c r="H137" s="12" t="n"/>
    </row>
    <row r="138">
      <c r="A138" s="2" t="n"/>
      <c r="B138" s="3">
        <f>IF($A138="","",TEXT($A138,"mmmm yyyy"))</f>
        <v/>
      </c>
      <c r="C138" s="4" t="n"/>
      <c r="D138" s="4" t="n"/>
      <c r="E138" s="5" t="n"/>
      <c r="F138" s="5" t="n"/>
      <c r="G138" s="6">
        <f>IF($A138="","",$K$3+SUM($E$2:$E138)-SUM($F$2:$F138))</f>
        <v/>
      </c>
      <c r="H138" s="4" t="n"/>
    </row>
    <row r="139">
      <c r="A139" s="10" t="n"/>
      <c r="B139" s="11">
        <f>IF($A139="","",TEXT($A139,"mmmm yyyy"))</f>
        <v/>
      </c>
      <c r="C139" s="12" t="n"/>
      <c r="D139" s="12" t="n"/>
      <c r="E139" s="13" t="n"/>
      <c r="F139" s="13" t="n"/>
      <c r="G139" s="14">
        <f>IF($A139="","",$K$3+SUM($E$2:$E139)-SUM($F$2:$F139))</f>
        <v/>
      </c>
      <c r="H139" s="12" t="n"/>
    </row>
    <row r="140">
      <c r="A140" s="2" t="n"/>
      <c r="B140" s="3">
        <f>IF($A140="","",TEXT($A140,"mmmm yyyy"))</f>
        <v/>
      </c>
      <c r="C140" s="4" t="n"/>
      <c r="D140" s="4" t="n"/>
      <c r="E140" s="5" t="n"/>
      <c r="F140" s="5" t="n"/>
      <c r="G140" s="6">
        <f>IF($A140="","",$K$3+SUM($E$2:$E140)-SUM($F$2:$F140))</f>
        <v/>
      </c>
      <c r="H140" s="4" t="n"/>
    </row>
    <row r="141">
      <c r="A141" s="10" t="n"/>
      <c r="B141" s="11">
        <f>IF($A141="","",TEXT($A141,"mmmm yyyy"))</f>
        <v/>
      </c>
      <c r="C141" s="12" t="n"/>
      <c r="D141" s="12" t="n"/>
      <c r="E141" s="13" t="n"/>
      <c r="F141" s="13" t="n"/>
      <c r="G141" s="14">
        <f>IF($A141="","",$K$3+SUM($E$2:$E141)-SUM($F$2:$F141))</f>
        <v/>
      </c>
      <c r="H141" s="12" t="n"/>
    </row>
    <row r="142">
      <c r="A142" s="2" t="n"/>
      <c r="B142" s="3">
        <f>IF($A142="","",TEXT($A142,"mmmm yyyy"))</f>
        <v/>
      </c>
      <c r="C142" s="4" t="n"/>
      <c r="D142" s="4" t="n"/>
      <c r="E142" s="5" t="n"/>
      <c r="F142" s="5" t="n"/>
      <c r="G142" s="6">
        <f>IF($A142="","",$K$3+SUM($E$2:$E142)-SUM($F$2:$F142))</f>
        <v/>
      </c>
      <c r="H142" s="4" t="n"/>
    </row>
    <row r="143">
      <c r="A143" s="10" t="n"/>
      <c r="B143" s="11">
        <f>IF($A143="","",TEXT($A143,"mmmm yyyy"))</f>
        <v/>
      </c>
      <c r="C143" s="12" t="n"/>
      <c r="D143" s="12" t="n"/>
      <c r="E143" s="13" t="n"/>
      <c r="F143" s="13" t="n"/>
      <c r="G143" s="14">
        <f>IF($A143="","",$K$3+SUM($E$2:$E143)-SUM($F$2:$F143))</f>
        <v/>
      </c>
      <c r="H143" s="12" t="n"/>
    </row>
    <row r="144">
      <c r="A144" s="2" t="n"/>
      <c r="B144" s="3">
        <f>IF($A144="","",TEXT($A144,"mmmm yyyy"))</f>
        <v/>
      </c>
      <c r="C144" s="4" t="n"/>
      <c r="D144" s="4" t="n"/>
      <c r="E144" s="5" t="n"/>
      <c r="F144" s="5" t="n"/>
      <c r="G144" s="6">
        <f>IF($A144="","",$K$3+SUM($E$2:$E144)-SUM($F$2:$F144))</f>
        <v/>
      </c>
      <c r="H144" s="4" t="n"/>
    </row>
    <row r="145">
      <c r="A145" s="10" t="n"/>
      <c r="B145" s="11">
        <f>IF($A145="","",TEXT($A145,"mmmm yyyy"))</f>
        <v/>
      </c>
      <c r="C145" s="12" t="n"/>
      <c r="D145" s="12" t="n"/>
      <c r="E145" s="13" t="n"/>
      <c r="F145" s="13" t="n"/>
      <c r="G145" s="14">
        <f>IF($A145="","",$K$3+SUM($E$2:$E145)-SUM($F$2:$F145))</f>
        <v/>
      </c>
      <c r="H145" s="12" t="n"/>
    </row>
    <row r="146">
      <c r="A146" s="2" t="n"/>
      <c r="B146" s="3">
        <f>IF($A146="","",TEXT($A146,"mmmm yyyy"))</f>
        <v/>
      </c>
      <c r="C146" s="4" t="n"/>
      <c r="D146" s="4" t="n"/>
      <c r="E146" s="5" t="n"/>
      <c r="F146" s="5" t="n"/>
      <c r="G146" s="6">
        <f>IF($A146="","",$K$3+SUM($E$2:$E146)-SUM($F$2:$F146))</f>
        <v/>
      </c>
      <c r="H146" s="4" t="n"/>
    </row>
    <row r="147">
      <c r="A147" s="10" t="n"/>
      <c r="B147" s="11">
        <f>IF($A147="","",TEXT($A147,"mmmm yyyy"))</f>
        <v/>
      </c>
      <c r="C147" s="12" t="n"/>
      <c r="D147" s="12" t="n"/>
      <c r="E147" s="13" t="n"/>
      <c r="F147" s="13" t="n"/>
      <c r="G147" s="14">
        <f>IF($A147="","",$K$3+SUM($E$2:$E147)-SUM($F$2:$F147))</f>
        <v/>
      </c>
      <c r="H147" s="12" t="n"/>
    </row>
    <row r="148">
      <c r="A148" s="2" t="n"/>
      <c r="B148" s="3">
        <f>IF($A148="","",TEXT($A148,"mmmm yyyy"))</f>
        <v/>
      </c>
      <c r="C148" s="4" t="n"/>
      <c r="D148" s="4" t="n"/>
      <c r="E148" s="5" t="n"/>
      <c r="F148" s="5" t="n"/>
      <c r="G148" s="6">
        <f>IF($A148="","",$K$3+SUM($E$2:$E148)-SUM($F$2:$F148))</f>
        <v/>
      </c>
      <c r="H148" s="4" t="n"/>
    </row>
    <row r="149">
      <c r="A149" s="10" t="n"/>
      <c r="B149" s="11">
        <f>IF($A149="","",TEXT($A149,"mmmm yyyy"))</f>
        <v/>
      </c>
      <c r="C149" s="12" t="n"/>
      <c r="D149" s="12" t="n"/>
      <c r="E149" s="13" t="n"/>
      <c r="F149" s="13" t="n"/>
      <c r="G149" s="14">
        <f>IF($A149="","",$K$3+SUM($E$2:$E149)-SUM($F$2:$F149))</f>
        <v/>
      </c>
      <c r="H149" s="12" t="n"/>
    </row>
    <row r="150">
      <c r="A150" s="2" t="n"/>
      <c r="B150" s="3">
        <f>IF($A150="","",TEXT($A150,"mmmm yyyy"))</f>
        <v/>
      </c>
      <c r="C150" s="4" t="n"/>
      <c r="D150" s="4" t="n"/>
      <c r="E150" s="5" t="n"/>
      <c r="F150" s="5" t="n"/>
      <c r="G150" s="6">
        <f>IF($A150="","",$K$3+SUM($E$2:$E150)-SUM($F$2:$F150))</f>
        <v/>
      </c>
      <c r="H150" s="4" t="n"/>
    </row>
    <row r="151">
      <c r="A151" s="10" t="n"/>
      <c r="B151" s="11">
        <f>IF($A151="","",TEXT($A151,"mmmm yyyy"))</f>
        <v/>
      </c>
      <c r="C151" s="12" t="n"/>
      <c r="D151" s="12" t="n"/>
      <c r="E151" s="13" t="n"/>
      <c r="F151" s="13" t="n"/>
      <c r="G151" s="14">
        <f>IF($A151="","",$K$3+SUM($E$2:$E151)-SUM($F$2:$F151))</f>
        <v/>
      </c>
      <c r="H151" s="12" t="n"/>
    </row>
    <row r="152">
      <c r="A152" s="2" t="n"/>
      <c r="B152" s="3">
        <f>IF($A152="","",TEXT($A152,"mmmm yyyy"))</f>
        <v/>
      </c>
      <c r="C152" s="4" t="n"/>
      <c r="D152" s="4" t="n"/>
      <c r="E152" s="5" t="n"/>
      <c r="F152" s="5" t="n"/>
      <c r="G152" s="6">
        <f>IF($A152="","",$K$3+SUM($E$2:$E152)-SUM($F$2:$F152))</f>
        <v/>
      </c>
      <c r="H152" s="4" t="n"/>
    </row>
    <row r="153">
      <c r="A153" s="10" t="n"/>
      <c r="B153" s="11">
        <f>IF($A153="","",TEXT($A153,"mmmm yyyy"))</f>
        <v/>
      </c>
      <c r="C153" s="12" t="n"/>
      <c r="D153" s="12" t="n"/>
      <c r="E153" s="13" t="n"/>
      <c r="F153" s="13" t="n"/>
      <c r="G153" s="14">
        <f>IF($A153="","",$K$3+SUM($E$2:$E153)-SUM($F$2:$F153))</f>
        <v/>
      </c>
      <c r="H153" s="12" t="n"/>
    </row>
    <row r="154">
      <c r="A154" s="2" t="n"/>
      <c r="B154" s="3">
        <f>IF($A154="","",TEXT($A154,"mmmm yyyy"))</f>
        <v/>
      </c>
      <c r="C154" s="4" t="n"/>
      <c r="D154" s="4" t="n"/>
      <c r="E154" s="5" t="n"/>
      <c r="F154" s="5" t="n"/>
      <c r="G154" s="6">
        <f>IF($A154="","",$K$3+SUM($E$2:$E154)-SUM($F$2:$F154))</f>
        <v/>
      </c>
      <c r="H154" s="4" t="n"/>
    </row>
    <row r="155">
      <c r="A155" s="10" t="n"/>
      <c r="B155" s="11">
        <f>IF($A155="","",TEXT($A155,"mmmm yyyy"))</f>
        <v/>
      </c>
      <c r="C155" s="12" t="n"/>
      <c r="D155" s="12" t="n"/>
      <c r="E155" s="13" t="n"/>
      <c r="F155" s="13" t="n"/>
      <c r="G155" s="14">
        <f>IF($A155="","",$K$3+SUM($E$2:$E155)-SUM($F$2:$F155))</f>
        <v/>
      </c>
      <c r="H155" s="12" t="n"/>
    </row>
    <row r="156">
      <c r="A156" s="2" t="n"/>
      <c r="B156" s="3">
        <f>IF($A156="","",TEXT($A156,"mmmm yyyy"))</f>
        <v/>
      </c>
      <c r="C156" s="4" t="n"/>
      <c r="D156" s="4" t="n"/>
      <c r="E156" s="5" t="n"/>
      <c r="F156" s="5" t="n"/>
      <c r="G156" s="6">
        <f>IF($A156="","",$K$3+SUM($E$2:$E156)-SUM($F$2:$F156))</f>
        <v/>
      </c>
      <c r="H156" s="4" t="n"/>
    </row>
    <row r="157">
      <c r="A157" s="10" t="n"/>
      <c r="B157" s="11">
        <f>IF($A157="","",TEXT($A157,"mmmm yyyy"))</f>
        <v/>
      </c>
      <c r="C157" s="12" t="n"/>
      <c r="D157" s="12" t="n"/>
      <c r="E157" s="13" t="n"/>
      <c r="F157" s="13" t="n"/>
      <c r="G157" s="14">
        <f>IF($A157="","",$K$3+SUM($E$2:$E157)-SUM($F$2:$F157))</f>
        <v/>
      </c>
      <c r="H157" s="12" t="n"/>
    </row>
    <row r="158">
      <c r="A158" s="2" t="n"/>
      <c r="B158" s="3">
        <f>IF($A158="","",TEXT($A158,"mmmm yyyy"))</f>
        <v/>
      </c>
      <c r="C158" s="4" t="n"/>
      <c r="D158" s="4" t="n"/>
      <c r="E158" s="5" t="n"/>
      <c r="F158" s="5" t="n"/>
      <c r="G158" s="6">
        <f>IF($A158="","",$K$3+SUM($E$2:$E158)-SUM($F$2:$F158))</f>
        <v/>
      </c>
      <c r="H158" s="4" t="n"/>
    </row>
    <row r="159">
      <c r="A159" s="10" t="n"/>
      <c r="B159" s="11">
        <f>IF($A159="","",TEXT($A159,"mmmm yyyy"))</f>
        <v/>
      </c>
      <c r="C159" s="12" t="n"/>
      <c r="D159" s="12" t="n"/>
      <c r="E159" s="13" t="n"/>
      <c r="F159" s="13" t="n"/>
      <c r="G159" s="14">
        <f>IF($A159="","",$K$3+SUM($E$2:$E159)-SUM($F$2:$F159))</f>
        <v/>
      </c>
      <c r="H159" s="12" t="n"/>
    </row>
    <row r="160">
      <c r="A160" s="2" t="n"/>
      <c r="B160" s="3">
        <f>IF($A160="","",TEXT($A160,"mmmm yyyy"))</f>
        <v/>
      </c>
      <c r="C160" s="4" t="n"/>
      <c r="D160" s="4" t="n"/>
      <c r="E160" s="5" t="n"/>
      <c r="F160" s="5" t="n"/>
      <c r="G160" s="6">
        <f>IF($A160="","",$K$3+SUM($E$2:$E160)-SUM($F$2:$F160))</f>
        <v/>
      </c>
      <c r="H160" s="4" t="n"/>
    </row>
    <row r="161">
      <c r="A161" s="10" t="n"/>
      <c r="B161" s="11">
        <f>IF($A161="","",TEXT($A161,"mmmm yyyy"))</f>
        <v/>
      </c>
      <c r="C161" s="12" t="n"/>
      <c r="D161" s="12" t="n"/>
      <c r="E161" s="13" t="n"/>
      <c r="F161" s="13" t="n"/>
      <c r="G161" s="14">
        <f>IF($A161="","",$K$3+SUM($E$2:$E161)-SUM($F$2:$F161))</f>
        <v/>
      </c>
      <c r="H161" s="12" t="n"/>
    </row>
    <row r="162">
      <c r="A162" s="2" t="n"/>
      <c r="B162" s="3">
        <f>IF($A162="","",TEXT($A162,"mmmm yyyy"))</f>
        <v/>
      </c>
      <c r="C162" s="4" t="n"/>
      <c r="D162" s="4" t="n"/>
      <c r="E162" s="5" t="n"/>
      <c r="F162" s="5" t="n"/>
      <c r="G162" s="6">
        <f>IF($A162="","",$K$3+SUM($E$2:$E162)-SUM($F$2:$F162))</f>
        <v/>
      </c>
      <c r="H162" s="4" t="n"/>
    </row>
    <row r="163">
      <c r="A163" s="10" t="n"/>
      <c r="B163" s="11">
        <f>IF($A163="","",TEXT($A163,"mmmm yyyy"))</f>
        <v/>
      </c>
      <c r="C163" s="12" t="n"/>
      <c r="D163" s="12" t="n"/>
      <c r="E163" s="13" t="n"/>
      <c r="F163" s="13" t="n"/>
      <c r="G163" s="14">
        <f>IF($A163="","",$K$3+SUM($E$2:$E163)-SUM($F$2:$F163))</f>
        <v/>
      </c>
      <c r="H163" s="12" t="n"/>
    </row>
    <row r="164">
      <c r="A164" s="2" t="n"/>
      <c r="B164" s="3">
        <f>IF($A164="","",TEXT($A164,"mmmm yyyy"))</f>
        <v/>
      </c>
      <c r="C164" s="4" t="n"/>
      <c r="D164" s="4" t="n"/>
      <c r="E164" s="5" t="n"/>
      <c r="F164" s="5" t="n"/>
      <c r="G164" s="6">
        <f>IF($A164="","",$K$3+SUM($E$2:$E164)-SUM($F$2:$F164))</f>
        <v/>
      </c>
      <c r="H164" s="4" t="n"/>
    </row>
    <row r="165">
      <c r="A165" s="10" t="n"/>
      <c r="B165" s="11">
        <f>IF($A165="","",TEXT($A165,"mmmm yyyy"))</f>
        <v/>
      </c>
      <c r="C165" s="12" t="n"/>
      <c r="D165" s="12" t="n"/>
      <c r="E165" s="13" t="n"/>
      <c r="F165" s="13" t="n"/>
      <c r="G165" s="14">
        <f>IF($A165="","",$K$3+SUM($E$2:$E165)-SUM($F$2:$F165))</f>
        <v/>
      </c>
      <c r="H165" s="12" t="n"/>
    </row>
    <row r="166">
      <c r="A166" s="2" t="n"/>
      <c r="B166" s="3">
        <f>IF($A166="","",TEXT($A166,"mmmm yyyy"))</f>
        <v/>
      </c>
      <c r="C166" s="4" t="n"/>
      <c r="D166" s="4" t="n"/>
      <c r="E166" s="5" t="n"/>
      <c r="F166" s="5" t="n"/>
      <c r="G166" s="6">
        <f>IF($A166="","",$K$3+SUM($E$2:$E166)-SUM($F$2:$F166))</f>
        <v/>
      </c>
      <c r="H166" s="4" t="n"/>
    </row>
    <row r="167">
      <c r="A167" s="10" t="n"/>
      <c r="B167" s="11">
        <f>IF($A167="","",TEXT($A167,"mmmm yyyy"))</f>
        <v/>
      </c>
      <c r="C167" s="12" t="n"/>
      <c r="D167" s="12" t="n"/>
      <c r="E167" s="13" t="n"/>
      <c r="F167" s="13" t="n"/>
      <c r="G167" s="14">
        <f>IF($A167="","",$K$3+SUM($E$2:$E167)-SUM($F$2:$F167))</f>
        <v/>
      </c>
      <c r="H167" s="12" t="n"/>
    </row>
    <row r="168">
      <c r="A168" s="2" t="n"/>
      <c r="B168" s="3">
        <f>IF($A168="","",TEXT($A168,"mmmm yyyy"))</f>
        <v/>
      </c>
      <c r="C168" s="4" t="n"/>
      <c r="D168" s="4" t="n"/>
      <c r="E168" s="5" t="n"/>
      <c r="F168" s="5" t="n"/>
      <c r="G168" s="6">
        <f>IF($A168="","",$K$3+SUM($E$2:$E168)-SUM($F$2:$F168))</f>
        <v/>
      </c>
      <c r="H168" s="4" t="n"/>
    </row>
    <row r="169">
      <c r="A169" s="10" t="n"/>
      <c r="B169" s="11">
        <f>IF($A169="","",TEXT($A169,"mmmm yyyy"))</f>
        <v/>
      </c>
      <c r="C169" s="12" t="n"/>
      <c r="D169" s="12" t="n"/>
      <c r="E169" s="13" t="n"/>
      <c r="F169" s="13" t="n"/>
      <c r="G169" s="14">
        <f>IF($A169="","",$K$3+SUM($E$2:$E169)-SUM($F$2:$F169))</f>
        <v/>
      </c>
      <c r="H169" s="12" t="n"/>
    </row>
    <row r="170">
      <c r="A170" s="2" t="n"/>
      <c r="B170" s="3">
        <f>IF($A170="","",TEXT($A170,"mmmm yyyy"))</f>
        <v/>
      </c>
      <c r="C170" s="4" t="n"/>
      <c r="D170" s="4" t="n"/>
      <c r="E170" s="5" t="n"/>
      <c r="F170" s="5" t="n"/>
      <c r="G170" s="6">
        <f>IF($A170="","",$K$3+SUM($E$2:$E170)-SUM($F$2:$F170))</f>
        <v/>
      </c>
      <c r="H170" s="4" t="n"/>
    </row>
    <row r="171">
      <c r="A171" s="10" t="n"/>
      <c r="B171" s="11">
        <f>IF($A171="","",TEXT($A171,"mmmm yyyy"))</f>
        <v/>
      </c>
      <c r="C171" s="12" t="n"/>
      <c r="D171" s="12" t="n"/>
      <c r="E171" s="13" t="n"/>
      <c r="F171" s="13" t="n"/>
      <c r="G171" s="14">
        <f>IF($A171="","",$K$3+SUM($E$2:$E171)-SUM($F$2:$F171))</f>
        <v/>
      </c>
      <c r="H171" s="12" t="n"/>
    </row>
    <row r="172">
      <c r="A172" s="2" t="n"/>
      <c r="B172" s="3">
        <f>IF($A172="","",TEXT($A172,"mmmm yyyy"))</f>
        <v/>
      </c>
      <c r="C172" s="4" t="n"/>
      <c r="D172" s="4" t="n"/>
      <c r="E172" s="5" t="n"/>
      <c r="F172" s="5" t="n"/>
      <c r="G172" s="6">
        <f>IF($A172="","",$K$3+SUM($E$2:$E172)-SUM($F$2:$F172))</f>
        <v/>
      </c>
      <c r="H172" s="4" t="n"/>
    </row>
    <row r="173">
      <c r="A173" s="10" t="n"/>
      <c r="B173" s="11">
        <f>IF($A173="","",TEXT($A173,"mmmm yyyy"))</f>
        <v/>
      </c>
      <c r="C173" s="12" t="n"/>
      <c r="D173" s="12" t="n"/>
      <c r="E173" s="13" t="n"/>
      <c r="F173" s="13" t="n"/>
      <c r="G173" s="14">
        <f>IF($A173="","",$K$3+SUM($E$2:$E173)-SUM($F$2:$F173))</f>
        <v/>
      </c>
      <c r="H173" s="12" t="n"/>
    </row>
    <row r="174">
      <c r="A174" s="2" t="n"/>
      <c r="B174" s="3">
        <f>IF($A174="","",TEXT($A174,"mmmm yyyy"))</f>
        <v/>
      </c>
      <c r="C174" s="4" t="n"/>
      <c r="D174" s="4" t="n"/>
      <c r="E174" s="5" t="n"/>
      <c r="F174" s="5" t="n"/>
      <c r="G174" s="6">
        <f>IF($A174="","",$K$3+SUM($E$2:$E174)-SUM($F$2:$F174))</f>
        <v/>
      </c>
      <c r="H174" s="4" t="n"/>
    </row>
    <row r="175">
      <c r="A175" s="10" t="n"/>
      <c r="B175" s="11">
        <f>IF($A175="","",TEXT($A175,"mmmm yyyy"))</f>
        <v/>
      </c>
      <c r="C175" s="12" t="n"/>
      <c r="D175" s="12" t="n"/>
      <c r="E175" s="13" t="n"/>
      <c r="F175" s="13" t="n"/>
      <c r="G175" s="14">
        <f>IF($A175="","",$K$3+SUM($E$2:$E175)-SUM($F$2:$F175))</f>
        <v/>
      </c>
      <c r="H175" s="12" t="n"/>
    </row>
    <row r="176">
      <c r="A176" s="2" t="n"/>
      <c r="B176" s="3">
        <f>IF($A176="","",TEXT($A176,"mmmm yyyy"))</f>
        <v/>
      </c>
      <c r="C176" s="4" t="n"/>
      <c r="D176" s="4" t="n"/>
      <c r="E176" s="5" t="n"/>
      <c r="F176" s="5" t="n"/>
      <c r="G176" s="6">
        <f>IF($A176="","",$K$3+SUM($E$2:$E176)-SUM($F$2:$F176))</f>
        <v/>
      </c>
      <c r="H176" s="4" t="n"/>
    </row>
    <row r="177">
      <c r="A177" s="10" t="n"/>
      <c r="B177" s="11">
        <f>IF($A177="","",TEXT($A177,"mmmm yyyy"))</f>
        <v/>
      </c>
      <c r="C177" s="12" t="n"/>
      <c r="D177" s="12" t="n"/>
      <c r="E177" s="13" t="n"/>
      <c r="F177" s="13" t="n"/>
      <c r="G177" s="14">
        <f>IF($A177="","",$K$3+SUM($E$2:$E177)-SUM($F$2:$F177))</f>
        <v/>
      </c>
      <c r="H177" s="12" t="n"/>
    </row>
    <row r="178">
      <c r="A178" s="2" t="n"/>
      <c r="B178" s="3">
        <f>IF($A178="","",TEXT($A178,"mmmm yyyy"))</f>
        <v/>
      </c>
      <c r="C178" s="4" t="n"/>
      <c r="D178" s="4" t="n"/>
      <c r="E178" s="5" t="n"/>
      <c r="F178" s="5" t="n"/>
      <c r="G178" s="6">
        <f>IF($A178="","",$K$3+SUM($E$2:$E178)-SUM($F$2:$F178))</f>
        <v/>
      </c>
      <c r="H178" s="4" t="n"/>
    </row>
    <row r="179">
      <c r="A179" s="10" t="n"/>
      <c r="B179" s="11">
        <f>IF($A179="","",TEXT($A179,"mmmm yyyy"))</f>
        <v/>
      </c>
      <c r="C179" s="12" t="n"/>
      <c r="D179" s="12" t="n"/>
      <c r="E179" s="13" t="n"/>
      <c r="F179" s="13" t="n"/>
      <c r="G179" s="14">
        <f>IF($A179="","",$K$3+SUM($E$2:$E179)-SUM($F$2:$F179))</f>
        <v/>
      </c>
      <c r="H179" s="12" t="n"/>
    </row>
    <row r="180">
      <c r="A180" s="2" t="n"/>
      <c r="B180" s="3">
        <f>IF($A180="","",TEXT($A180,"mmmm yyyy"))</f>
        <v/>
      </c>
      <c r="C180" s="4" t="n"/>
      <c r="D180" s="4" t="n"/>
      <c r="E180" s="5" t="n"/>
      <c r="F180" s="5" t="n"/>
      <c r="G180" s="6">
        <f>IF($A180="","",$K$3+SUM($E$2:$E180)-SUM($F$2:$F180))</f>
        <v/>
      </c>
      <c r="H180" s="4" t="n"/>
    </row>
    <row r="181">
      <c r="A181" s="10" t="n"/>
      <c r="B181" s="11">
        <f>IF($A181="","",TEXT($A181,"mmmm yyyy"))</f>
        <v/>
      </c>
      <c r="C181" s="12" t="n"/>
      <c r="D181" s="12" t="n"/>
      <c r="E181" s="13" t="n"/>
      <c r="F181" s="13" t="n"/>
      <c r="G181" s="14">
        <f>IF($A181="","",$K$3+SUM($E$2:$E181)-SUM($F$2:$F181))</f>
        <v/>
      </c>
      <c r="H181" s="12" t="n"/>
    </row>
    <row r="182">
      <c r="A182" s="2" t="n"/>
      <c r="B182" s="3">
        <f>IF($A182="","",TEXT($A182,"mmmm yyyy"))</f>
        <v/>
      </c>
      <c r="C182" s="4" t="n"/>
      <c r="D182" s="4" t="n"/>
      <c r="E182" s="5" t="n"/>
      <c r="F182" s="5" t="n"/>
      <c r="G182" s="6">
        <f>IF($A182="","",$K$3+SUM($E$2:$E182)-SUM($F$2:$F182))</f>
        <v/>
      </c>
      <c r="H182" s="4" t="n"/>
    </row>
    <row r="183">
      <c r="A183" s="10" t="n"/>
      <c r="B183" s="11">
        <f>IF($A183="","",TEXT($A183,"mmmm yyyy"))</f>
        <v/>
      </c>
      <c r="C183" s="12" t="n"/>
      <c r="D183" s="12" t="n"/>
      <c r="E183" s="13" t="n"/>
      <c r="F183" s="13" t="n"/>
      <c r="G183" s="14">
        <f>IF($A183="","",$K$3+SUM($E$2:$E183)-SUM($F$2:$F183))</f>
        <v/>
      </c>
      <c r="H183" s="12" t="n"/>
    </row>
    <row r="184">
      <c r="A184" s="2" t="n"/>
      <c r="B184" s="3">
        <f>IF($A184="","",TEXT($A184,"mmmm yyyy"))</f>
        <v/>
      </c>
      <c r="C184" s="4" t="n"/>
      <c r="D184" s="4" t="n"/>
      <c r="E184" s="5" t="n"/>
      <c r="F184" s="5" t="n"/>
      <c r="G184" s="6">
        <f>IF($A184="","",$K$3+SUM($E$2:$E184)-SUM($F$2:$F184))</f>
        <v/>
      </c>
      <c r="H184" s="4" t="n"/>
    </row>
    <row r="185">
      <c r="A185" s="10" t="n"/>
      <c r="B185" s="11">
        <f>IF($A185="","",TEXT($A185,"mmmm yyyy"))</f>
        <v/>
      </c>
      <c r="C185" s="12" t="n"/>
      <c r="D185" s="12" t="n"/>
      <c r="E185" s="13" t="n"/>
      <c r="F185" s="13" t="n"/>
      <c r="G185" s="14">
        <f>IF($A185="","",$K$3+SUM($E$2:$E185)-SUM($F$2:$F185))</f>
        <v/>
      </c>
      <c r="H185" s="12" t="n"/>
    </row>
    <row r="186">
      <c r="A186" s="2" t="n"/>
      <c r="B186" s="3">
        <f>IF($A186="","",TEXT($A186,"mmmm yyyy"))</f>
        <v/>
      </c>
      <c r="C186" s="4" t="n"/>
      <c r="D186" s="4" t="n"/>
      <c r="E186" s="5" t="n"/>
      <c r="F186" s="5" t="n"/>
      <c r="G186" s="6">
        <f>IF($A186="","",$K$3+SUM($E$2:$E186)-SUM($F$2:$F186))</f>
        <v/>
      </c>
      <c r="H186" s="4" t="n"/>
    </row>
    <row r="187">
      <c r="A187" s="10" t="n"/>
      <c r="B187" s="11">
        <f>IF($A187="","",TEXT($A187,"mmmm yyyy"))</f>
        <v/>
      </c>
      <c r="C187" s="12" t="n"/>
      <c r="D187" s="12" t="n"/>
      <c r="E187" s="13" t="n"/>
      <c r="F187" s="13" t="n"/>
      <c r="G187" s="14">
        <f>IF($A187="","",$K$3+SUM($E$2:$E187)-SUM($F$2:$F187))</f>
        <v/>
      </c>
      <c r="H187" s="12" t="n"/>
    </row>
    <row r="188">
      <c r="A188" s="2" t="n"/>
      <c r="B188" s="3">
        <f>IF($A188="","",TEXT($A188,"mmmm yyyy"))</f>
        <v/>
      </c>
      <c r="C188" s="4" t="n"/>
      <c r="D188" s="4" t="n"/>
      <c r="E188" s="5" t="n"/>
      <c r="F188" s="5" t="n"/>
      <c r="G188" s="6">
        <f>IF($A188="","",$K$3+SUM($E$2:$E188)-SUM($F$2:$F188))</f>
        <v/>
      </c>
      <c r="H188" s="4" t="n"/>
    </row>
    <row r="189">
      <c r="A189" s="10" t="n"/>
      <c r="B189" s="11">
        <f>IF($A189="","",TEXT($A189,"mmmm yyyy"))</f>
        <v/>
      </c>
      <c r="C189" s="12" t="n"/>
      <c r="D189" s="12" t="n"/>
      <c r="E189" s="13" t="n"/>
      <c r="F189" s="13" t="n"/>
      <c r="G189" s="14">
        <f>IF($A189="","",$K$3+SUM($E$2:$E189)-SUM($F$2:$F189))</f>
        <v/>
      </c>
      <c r="H189" s="12" t="n"/>
    </row>
    <row r="190">
      <c r="A190" s="2" t="n"/>
      <c r="B190" s="3">
        <f>IF($A190="","",TEXT($A190,"mmmm yyyy"))</f>
        <v/>
      </c>
      <c r="C190" s="4" t="n"/>
      <c r="D190" s="4" t="n"/>
      <c r="E190" s="5" t="n"/>
      <c r="F190" s="5" t="n"/>
      <c r="G190" s="6">
        <f>IF($A190="","",$K$3+SUM($E$2:$E190)-SUM($F$2:$F190))</f>
        <v/>
      </c>
      <c r="H190" s="4" t="n"/>
    </row>
    <row r="191">
      <c r="A191" s="10" t="n"/>
      <c r="B191" s="11">
        <f>IF($A191="","",TEXT($A191,"mmmm yyyy"))</f>
        <v/>
      </c>
      <c r="C191" s="12" t="n"/>
      <c r="D191" s="12" t="n"/>
      <c r="E191" s="13" t="n"/>
      <c r="F191" s="13" t="n"/>
      <c r="G191" s="14">
        <f>IF($A191="","",$K$3+SUM($E$2:$E191)-SUM($F$2:$F191))</f>
        <v/>
      </c>
      <c r="H191" s="12" t="n"/>
    </row>
    <row r="192">
      <c r="A192" s="2" t="n"/>
      <c r="B192" s="3">
        <f>IF($A192="","",TEXT($A192,"mmmm yyyy"))</f>
        <v/>
      </c>
      <c r="C192" s="4" t="n"/>
      <c r="D192" s="4" t="n"/>
      <c r="E192" s="5" t="n"/>
      <c r="F192" s="5" t="n"/>
      <c r="G192" s="6">
        <f>IF($A192="","",$K$3+SUM($E$2:$E192)-SUM($F$2:$F192))</f>
        <v/>
      </c>
      <c r="H192" s="4" t="n"/>
    </row>
    <row r="193">
      <c r="A193" s="10" t="n"/>
      <c r="B193" s="11">
        <f>IF($A193="","",TEXT($A193,"mmmm yyyy"))</f>
        <v/>
      </c>
      <c r="C193" s="12" t="n"/>
      <c r="D193" s="12" t="n"/>
      <c r="E193" s="13" t="n"/>
      <c r="F193" s="13" t="n"/>
      <c r="G193" s="14">
        <f>IF($A193="","",$K$3+SUM($E$2:$E193)-SUM($F$2:$F193))</f>
        <v/>
      </c>
      <c r="H193" s="12" t="n"/>
    </row>
    <row r="194">
      <c r="A194" s="2" t="n"/>
      <c r="B194" s="3">
        <f>IF($A194="","",TEXT($A194,"mmmm yyyy"))</f>
        <v/>
      </c>
      <c r="C194" s="4" t="n"/>
      <c r="D194" s="4" t="n"/>
      <c r="E194" s="5" t="n"/>
      <c r="F194" s="5" t="n"/>
      <c r="G194" s="6">
        <f>IF($A194="","",$K$3+SUM($E$2:$E194)-SUM($F$2:$F194))</f>
        <v/>
      </c>
      <c r="H194" s="4" t="n"/>
    </row>
    <row r="195">
      <c r="A195" s="10" t="n"/>
      <c r="B195" s="11">
        <f>IF($A195="","",TEXT($A195,"mmmm yyyy"))</f>
        <v/>
      </c>
      <c r="C195" s="12" t="n"/>
      <c r="D195" s="12" t="n"/>
      <c r="E195" s="13" t="n"/>
      <c r="F195" s="13" t="n"/>
      <c r="G195" s="14">
        <f>IF($A195="","",$K$3+SUM($E$2:$E195)-SUM($F$2:$F195))</f>
        <v/>
      </c>
      <c r="H195" s="12" t="n"/>
    </row>
    <row r="196">
      <c r="A196" s="2" t="n"/>
      <c r="B196" s="3">
        <f>IF($A196="","",TEXT($A196,"mmmm yyyy"))</f>
        <v/>
      </c>
      <c r="C196" s="4" t="n"/>
      <c r="D196" s="4" t="n"/>
      <c r="E196" s="5" t="n"/>
      <c r="F196" s="5" t="n"/>
      <c r="G196" s="6">
        <f>IF($A196="","",$K$3+SUM($E$2:$E196)-SUM($F$2:$F196))</f>
        <v/>
      </c>
      <c r="H196" s="4" t="n"/>
    </row>
    <row r="197">
      <c r="A197" s="10" t="n"/>
      <c r="B197" s="11">
        <f>IF($A197="","",TEXT($A197,"mmmm yyyy"))</f>
        <v/>
      </c>
      <c r="C197" s="12" t="n"/>
      <c r="D197" s="12" t="n"/>
      <c r="E197" s="13" t="n"/>
      <c r="F197" s="13" t="n"/>
      <c r="G197" s="14">
        <f>IF($A197="","",$K$3+SUM($E$2:$E197)-SUM($F$2:$F197))</f>
        <v/>
      </c>
      <c r="H197" s="12" t="n"/>
    </row>
    <row r="198">
      <c r="A198" s="2" t="n"/>
      <c r="B198" s="3">
        <f>IF($A198="","",TEXT($A198,"mmmm yyyy"))</f>
        <v/>
      </c>
      <c r="C198" s="4" t="n"/>
      <c r="D198" s="4" t="n"/>
      <c r="E198" s="5" t="n"/>
      <c r="F198" s="5" t="n"/>
      <c r="G198" s="6">
        <f>IF($A198="","",$K$3+SUM($E$2:$E198)-SUM($F$2:$F198))</f>
        <v/>
      </c>
      <c r="H198" s="4" t="n"/>
    </row>
    <row r="199">
      <c r="A199" s="10" t="n"/>
      <c r="B199" s="11">
        <f>IF($A199="","",TEXT($A199,"mmmm yyyy"))</f>
        <v/>
      </c>
      <c r="C199" s="12" t="n"/>
      <c r="D199" s="12" t="n"/>
      <c r="E199" s="13" t="n"/>
      <c r="F199" s="13" t="n"/>
      <c r="G199" s="14">
        <f>IF($A199="","",$K$3+SUM($E$2:$E199)-SUM($F$2:$F199))</f>
        <v/>
      </c>
      <c r="H199" s="12" t="n"/>
    </row>
    <row r="200">
      <c r="A200" s="2" t="n"/>
      <c r="B200" s="3">
        <f>IF($A200="","",TEXT($A200,"mmmm yyyy"))</f>
        <v/>
      </c>
      <c r="C200" s="4" t="n"/>
      <c r="D200" s="4" t="n"/>
      <c r="E200" s="5" t="n"/>
      <c r="F200" s="5" t="n"/>
      <c r="G200" s="6">
        <f>IF($A200="","",$K$3+SUM($E$2:$E200)-SUM($F$2:$F200))</f>
        <v/>
      </c>
      <c r="H200" s="4" t="n"/>
    </row>
    <row r="201">
      <c r="A201" s="10" t="n"/>
      <c r="B201" s="11">
        <f>IF($A201="","",TEXT($A201,"mmmm yyyy"))</f>
        <v/>
      </c>
      <c r="C201" s="12" t="n"/>
      <c r="D201" s="12" t="n"/>
      <c r="E201" s="13" t="n"/>
      <c r="F201" s="13" t="n"/>
      <c r="G201" s="14">
        <f>IF($A201="","",$K$3+SUM($E$2:$E201)-SUM($F$2:$F201))</f>
        <v/>
      </c>
      <c r="H201" s="12" t="n"/>
    </row>
    <row r="202">
      <c r="A202" s="2" t="n"/>
      <c r="B202" s="3">
        <f>IF($A202="","",TEXT($A202,"mmmm yyyy"))</f>
        <v/>
      </c>
      <c r="C202" s="4" t="n"/>
      <c r="D202" s="4" t="n"/>
      <c r="E202" s="5" t="n"/>
      <c r="F202" s="5" t="n"/>
      <c r="G202" s="6">
        <f>IF($A202="","",$K$3+SUM($E$2:$E202)-SUM($F$2:$F202))</f>
        <v/>
      </c>
      <c r="H202" s="4" t="n"/>
    </row>
    <row r="203">
      <c r="A203" s="10" t="n"/>
      <c r="B203" s="11">
        <f>IF($A203="","",TEXT($A203,"mmmm yyyy"))</f>
        <v/>
      </c>
      <c r="C203" s="12" t="n"/>
      <c r="D203" s="12" t="n"/>
      <c r="E203" s="13" t="n"/>
      <c r="F203" s="13" t="n"/>
      <c r="G203" s="14">
        <f>IF($A203="","",$K$3+SUM($E$2:$E203)-SUM($F$2:$F203))</f>
        <v/>
      </c>
      <c r="H203" s="12" t="n"/>
    </row>
    <row r="204">
      <c r="A204" s="2" t="n"/>
      <c r="B204" s="3">
        <f>IF($A204="","",TEXT($A204,"mmmm yyyy"))</f>
        <v/>
      </c>
      <c r="C204" s="4" t="n"/>
      <c r="D204" s="4" t="n"/>
      <c r="E204" s="5" t="n"/>
      <c r="F204" s="5" t="n"/>
      <c r="G204" s="6">
        <f>IF($A204="","",$K$3+SUM($E$2:$E204)-SUM($F$2:$F204))</f>
        <v/>
      </c>
      <c r="H204" s="4" t="n"/>
    </row>
    <row r="205">
      <c r="A205" s="10" t="n"/>
      <c r="B205" s="11">
        <f>IF($A205="","",TEXT($A205,"mmmm yyyy"))</f>
        <v/>
      </c>
      <c r="C205" s="12" t="n"/>
      <c r="D205" s="12" t="n"/>
      <c r="E205" s="13" t="n"/>
      <c r="F205" s="13" t="n"/>
      <c r="G205" s="14">
        <f>IF($A205="","",$K$3+SUM($E$2:$E205)-SUM($F$2:$F205))</f>
        <v/>
      </c>
      <c r="H205" s="12" t="n"/>
    </row>
    <row r="206">
      <c r="A206" s="2" t="n"/>
      <c r="B206" s="3">
        <f>IF($A206="","",TEXT($A206,"mmmm yyyy"))</f>
        <v/>
      </c>
      <c r="C206" s="4" t="n"/>
      <c r="D206" s="4" t="n"/>
      <c r="E206" s="5" t="n"/>
      <c r="F206" s="5" t="n"/>
      <c r="G206" s="6">
        <f>IF($A206="","",$K$3+SUM($E$2:$E206)-SUM($F$2:$F206))</f>
        <v/>
      </c>
      <c r="H206" s="4" t="n"/>
    </row>
    <row r="207">
      <c r="A207" s="10" t="n"/>
      <c r="B207" s="11">
        <f>IF($A207="","",TEXT($A207,"mmmm yyyy"))</f>
        <v/>
      </c>
      <c r="C207" s="12" t="n"/>
      <c r="D207" s="12" t="n"/>
      <c r="E207" s="13" t="n"/>
      <c r="F207" s="13" t="n"/>
      <c r="G207" s="14">
        <f>IF($A207="","",$K$3+SUM($E$2:$E207)-SUM($F$2:$F207))</f>
        <v/>
      </c>
      <c r="H207" s="12" t="n"/>
    </row>
    <row r="208">
      <c r="A208" s="2" t="n"/>
      <c r="B208" s="3">
        <f>IF($A208="","",TEXT($A208,"mmmm yyyy"))</f>
        <v/>
      </c>
      <c r="C208" s="4" t="n"/>
      <c r="D208" s="4" t="n"/>
      <c r="E208" s="5" t="n"/>
      <c r="F208" s="5" t="n"/>
      <c r="G208" s="6">
        <f>IF($A208="","",$K$3+SUM($E$2:$E208)-SUM($F$2:$F208))</f>
        <v/>
      </c>
      <c r="H208" s="4" t="n"/>
    </row>
    <row r="209">
      <c r="A209" s="10" t="n"/>
      <c r="B209" s="11">
        <f>IF($A209="","",TEXT($A209,"mmmm yyyy"))</f>
        <v/>
      </c>
      <c r="C209" s="12" t="n"/>
      <c r="D209" s="12" t="n"/>
      <c r="E209" s="13" t="n"/>
      <c r="F209" s="13" t="n"/>
      <c r="G209" s="14">
        <f>IF($A209="","",$K$3+SUM($E$2:$E209)-SUM($F$2:$F209))</f>
        <v/>
      </c>
      <c r="H209" s="12" t="n"/>
    </row>
    <row r="210">
      <c r="A210" s="2" t="n"/>
      <c r="B210" s="3">
        <f>IF($A210="","",TEXT($A210,"mmmm yyyy"))</f>
        <v/>
      </c>
      <c r="C210" s="4" t="n"/>
      <c r="D210" s="4" t="n"/>
      <c r="E210" s="5" t="n"/>
      <c r="F210" s="5" t="n"/>
      <c r="G210" s="6">
        <f>IF($A210="","",$K$3+SUM($E$2:$E210)-SUM($F$2:$F210))</f>
        <v/>
      </c>
      <c r="H210" s="4" t="n"/>
    </row>
    <row r="211">
      <c r="A211" s="10" t="n"/>
      <c r="B211" s="11">
        <f>IF($A211="","",TEXT($A211,"mmmm yyyy"))</f>
        <v/>
      </c>
      <c r="C211" s="12" t="n"/>
      <c r="D211" s="12" t="n"/>
      <c r="E211" s="13" t="n"/>
      <c r="F211" s="13" t="n"/>
      <c r="G211" s="14">
        <f>IF($A211="","",$K$3+SUM($E$2:$E211)-SUM($F$2:$F211))</f>
        <v/>
      </c>
      <c r="H211" s="12" t="n"/>
    </row>
    <row r="212">
      <c r="A212" s="2" t="n"/>
      <c r="B212" s="3">
        <f>IF($A212="","",TEXT($A212,"mmmm yyyy"))</f>
        <v/>
      </c>
      <c r="C212" s="4" t="n"/>
      <c r="D212" s="4" t="n"/>
      <c r="E212" s="5" t="n"/>
      <c r="F212" s="5" t="n"/>
      <c r="G212" s="6">
        <f>IF($A212="","",$K$3+SUM($E$2:$E212)-SUM($F$2:$F212))</f>
        <v/>
      </c>
      <c r="H212" s="4" t="n"/>
    </row>
    <row r="213">
      <c r="A213" s="10" t="n"/>
      <c r="B213" s="11">
        <f>IF($A213="","",TEXT($A213,"mmmm yyyy"))</f>
        <v/>
      </c>
      <c r="C213" s="12" t="n"/>
      <c r="D213" s="12" t="n"/>
      <c r="E213" s="13" t="n"/>
      <c r="F213" s="13" t="n"/>
      <c r="G213" s="14">
        <f>IF($A213="","",$K$3+SUM($E$2:$E213)-SUM($F$2:$F213))</f>
        <v/>
      </c>
      <c r="H213" s="12" t="n"/>
    </row>
    <row r="214">
      <c r="A214" s="2" t="n"/>
      <c r="B214" s="3">
        <f>IF($A214="","",TEXT($A214,"mmmm yyyy"))</f>
        <v/>
      </c>
      <c r="C214" s="4" t="n"/>
      <c r="D214" s="4" t="n"/>
      <c r="E214" s="5" t="n"/>
      <c r="F214" s="5" t="n"/>
      <c r="G214" s="6">
        <f>IF($A214="","",$K$3+SUM($E$2:$E214)-SUM($F$2:$F214))</f>
        <v/>
      </c>
      <c r="H214" s="4" t="n"/>
    </row>
    <row r="215">
      <c r="A215" s="10" t="n"/>
      <c r="B215" s="11">
        <f>IF($A215="","",TEXT($A215,"mmmm yyyy"))</f>
        <v/>
      </c>
      <c r="C215" s="12" t="n"/>
      <c r="D215" s="12" t="n"/>
      <c r="E215" s="13" t="n"/>
      <c r="F215" s="13" t="n"/>
      <c r="G215" s="14">
        <f>IF($A215="","",$K$3+SUM($E$2:$E215)-SUM($F$2:$F215))</f>
        <v/>
      </c>
      <c r="H215" s="12" t="n"/>
    </row>
    <row r="216">
      <c r="A216" s="2" t="n"/>
      <c r="B216" s="3">
        <f>IF($A216="","",TEXT($A216,"mmmm yyyy"))</f>
        <v/>
      </c>
      <c r="C216" s="4" t="n"/>
      <c r="D216" s="4" t="n"/>
      <c r="E216" s="5" t="n"/>
      <c r="F216" s="5" t="n"/>
      <c r="G216" s="6">
        <f>IF($A216="","",$K$3+SUM($E$2:$E216)-SUM($F$2:$F216))</f>
        <v/>
      </c>
      <c r="H216" s="4" t="n"/>
    </row>
    <row r="217">
      <c r="A217" s="10" t="n"/>
      <c r="B217" s="11">
        <f>IF($A217="","",TEXT($A217,"mmmm yyyy"))</f>
        <v/>
      </c>
      <c r="C217" s="12" t="n"/>
      <c r="D217" s="12" t="n"/>
      <c r="E217" s="13" t="n"/>
      <c r="F217" s="13" t="n"/>
      <c r="G217" s="14">
        <f>IF($A217="","",$K$3+SUM($E$2:$E217)-SUM($F$2:$F217))</f>
        <v/>
      </c>
      <c r="H217" s="12" t="n"/>
    </row>
    <row r="218">
      <c r="A218" s="2" t="n"/>
      <c r="B218" s="3">
        <f>IF($A218="","",TEXT($A218,"mmmm yyyy"))</f>
        <v/>
      </c>
      <c r="C218" s="4" t="n"/>
      <c r="D218" s="4" t="n"/>
      <c r="E218" s="5" t="n"/>
      <c r="F218" s="5" t="n"/>
      <c r="G218" s="6">
        <f>IF($A218="","",$K$3+SUM($E$2:$E218)-SUM($F$2:$F218))</f>
        <v/>
      </c>
      <c r="H218" s="4" t="n"/>
    </row>
    <row r="219">
      <c r="A219" s="10" t="n"/>
      <c r="B219" s="11">
        <f>IF($A219="","",TEXT($A219,"mmmm yyyy"))</f>
        <v/>
      </c>
      <c r="C219" s="12" t="n"/>
      <c r="D219" s="12" t="n"/>
      <c r="E219" s="13" t="n"/>
      <c r="F219" s="13" t="n"/>
      <c r="G219" s="14">
        <f>IF($A219="","",$K$3+SUM($E$2:$E219)-SUM($F$2:$F219))</f>
        <v/>
      </c>
      <c r="H219" s="12" t="n"/>
    </row>
    <row r="220">
      <c r="A220" s="2" t="n"/>
      <c r="B220" s="3">
        <f>IF($A220="","",TEXT($A220,"mmmm yyyy"))</f>
        <v/>
      </c>
      <c r="C220" s="4" t="n"/>
      <c r="D220" s="4" t="n"/>
      <c r="E220" s="5" t="n"/>
      <c r="F220" s="5" t="n"/>
      <c r="G220" s="6">
        <f>IF($A220="","",$K$3+SUM($E$2:$E220)-SUM($F$2:$F220))</f>
        <v/>
      </c>
      <c r="H220" s="4" t="n"/>
    </row>
    <row r="221">
      <c r="A221" s="10" t="n"/>
      <c r="B221" s="11">
        <f>IF($A221="","",TEXT($A221,"mmmm yyyy"))</f>
        <v/>
      </c>
      <c r="C221" s="12" t="n"/>
      <c r="D221" s="12" t="n"/>
      <c r="E221" s="13" t="n"/>
      <c r="F221" s="13" t="n"/>
      <c r="G221" s="14">
        <f>IF($A221="","",$K$3+SUM($E$2:$E221)-SUM($F$2:$F221))</f>
        <v/>
      </c>
      <c r="H221" s="12" t="n"/>
    </row>
    <row r="222">
      <c r="A222" s="2" t="n"/>
      <c r="B222" s="3">
        <f>IF($A222="","",TEXT($A222,"mmmm yyyy"))</f>
        <v/>
      </c>
      <c r="C222" s="4" t="n"/>
      <c r="D222" s="4" t="n"/>
      <c r="E222" s="5" t="n"/>
      <c r="F222" s="5" t="n"/>
      <c r="G222" s="6">
        <f>IF($A222="","",$K$3+SUM($E$2:$E222)-SUM($F$2:$F222))</f>
        <v/>
      </c>
      <c r="H222" s="4" t="n"/>
    </row>
    <row r="223">
      <c r="A223" s="10" t="n"/>
      <c r="B223" s="11">
        <f>IF($A223="","",TEXT($A223,"mmmm yyyy"))</f>
        <v/>
      </c>
      <c r="C223" s="12" t="n"/>
      <c r="D223" s="12" t="n"/>
      <c r="E223" s="13" t="n"/>
      <c r="F223" s="13" t="n"/>
      <c r="G223" s="14">
        <f>IF($A223="","",$K$3+SUM($E$2:$E223)-SUM($F$2:$F223))</f>
        <v/>
      </c>
      <c r="H223" s="12" t="n"/>
    </row>
    <row r="224">
      <c r="A224" s="2" t="n"/>
      <c r="B224" s="3">
        <f>IF($A224="","",TEXT($A224,"mmmm yyyy"))</f>
        <v/>
      </c>
      <c r="C224" s="4" t="n"/>
      <c r="D224" s="4" t="n"/>
      <c r="E224" s="5" t="n"/>
      <c r="F224" s="5" t="n"/>
      <c r="G224" s="6">
        <f>IF($A224="","",$K$3+SUM($E$2:$E224)-SUM($F$2:$F224))</f>
        <v/>
      </c>
      <c r="H224" s="4" t="n"/>
    </row>
    <row r="225">
      <c r="A225" s="10" t="n"/>
      <c r="B225" s="11">
        <f>IF($A225="","",TEXT($A225,"mmmm yyyy"))</f>
        <v/>
      </c>
      <c r="C225" s="12" t="n"/>
      <c r="D225" s="12" t="n"/>
      <c r="E225" s="13" t="n"/>
      <c r="F225" s="13" t="n"/>
      <c r="G225" s="14">
        <f>IF($A225="","",$K$3+SUM($E$2:$E225)-SUM($F$2:$F225))</f>
        <v/>
      </c>
      <c r="H225" s="12" t="n"/>
    </row>
    <row r="226">
      <c r="A226" s="2" t="n"/>
      <c r="B226" s="3">
        <f>IF($A226="","",TEXT($A226,"mmmm yyyy"))</f>
        <v/>
      </c>
      <c r="C226" s="4" t="n"/>
      <c r="D226" s="4" t="n"/>
      <c r="E226" s="5" t="n"/>
      <c r="F226" s="5" t="n"/>
      <c r="G226" s="6">
        <f>IF($A226="","",$K$3+SUM($E$2:$E226)-SUM($F$2:$F226))</f>
        <v/>
      </c>
      <c r="H226" s="4" t="n"/>
    </row>
    <row r="227">
      <c r="A227" s="10" t="n"/>
      <c r="B227" s="11">
        <f>IF($A227="","",TEXT($A227,"mmmm yyyy"))</f>
        <v/>
      </c>
      <c r="C227" s="12" t="n"/>
      <c r="D227" s="12" t="n"/>
      <c r="E227" s="13" t="n"/>
      <c r="F227" s="13" t="n"/>
      <c r="G227" s="14">
        <f>IF($A227="","",$K$3+SUM($E$2:$E227)-SUM($F$2:$F227))</f>
        <v/>
      </c>
      <c r="H227" s="12" t="n"/>
    </row>
    <row r="228">
      <c r="A228" s="2" t="n"/>
      <c r="B228" s="3">
        <f>IF($A228="","",TEXT($A228,"mmmm yyyy"))</f>
        <v/>
      </c>
      <c r="C228" s="4" t="n"/>
      <c r="D228" s="4" t="n"/>
      <c r="E228" s="5" t="n"/>
      <c r="F228" s="5" t="n"/>
      <c r="G228" s="6">
        <f>IF($A228="","",$K$3+SUM($E$2:$E228)-SUM($F$2:$F228))</f>
        <v/>
      </c>
      <c r="H228" s="4" t="n"/>
    </row>
    <row r="229">
      <c r="A229" s="10" t="n"/>
      <c r="B229" s="11">
        <f>IF($A229="","",TEXT($A229,"mmmm yyyy"))</f>
        <v/>
      </c>
      <c r="C229" s="12" t="n"/>
      <c r="D229" s="12" t="n"/>
      <c r="E229" s="13" t="n"/>
      <c r="F229" s="13" t="n"/>
      <c r="G229" s="14">
        <f>IF($A229="","",$K$3+SUM($E$2:$E229)-SUM($F$2:$F229))</f>
        <v/>
      </c>
      <c r="H229" s="12" t="n"/>
    </row>
    <row r="230">
      <c r="A230" s="2" t="n"/>
      <c r="B230" s="3">
        <f>IF($A230="","",TEXT($A230,"mmmm yyyy"))</f>
        <v/>
      </c>
      <c r="C230" s="4" t="n"/>
      <c r="D230" s="4" t="n"/>
      <c r="E230" s="5" t="n"/>
      <c r="F230" s="5" t="n"/>
      <c r="G230" s="6">
        <f>IF($A230="","",$K$3+SUM($E$2:$E230)-SUM($F$2:$F230))</f>
        <v/>
      </c>
      <c r="H230" s="4" t="n"/>
    </row>
    <row r="231">
      <c r="A231" s="10" t="n"/>
      <c r="B231" s="11">
        <f>IF($A231="","",TEXT($A231,"mmmm yyyy"))</f>
        <v/>
      </c>
      <c r="C231" s="12" t="n"/>
      <c r="D231" s="12" t="n"/>
      <c r="E231" s="13" t="n"/>
      <c r="F231" s="13" t="n"/>
      <c r="G231" s="14">
        <f>IF($A231="","",$K$3+SUM($E$2:$E231)-SUM($F$2:$F231))</f>
        <v/>
      </c>
      <c r="H231" s="12" t="n"/>
    </row>
    <row r="232">
      <c r="A232" s="2" t="n"/>
      <c r="B232" s="3">
        <f>IF($A232="","",TEXT($A232,"mmmm yyyy"))</f>
        <v/>
      </c>
      <c r="C232" s="4" t="n"/>
      <c r="D232" s="4" t="n"/>
      <c r="E232" s="5" t="n"/>
      <c r="F232" s="5" t="n"/>
      <c r="G232" s="6">
        <f>IF($A232="","",$K$3+SUM($E$2:$E232)-SUM($F$2:$F232))</f>
        <v/>
      </c>
      <c r="H232" s="4" t="n"/>
    </row>
    <row r="233">
      <c r="A233" s="10" t="n"/>
      <c r="B233" s="11">
        <f>IF($A233="","",TEXT($A233,"mmmm yyyy"))</f>
        <v/>
      </c>
      <c r="C233" s="12" t="n"/>
      <c r="D233" s="12" t="n"/>
      <c r="E233" s="13" t="n"/>
      <c r="F233" s="13" t="n"/>
      <c r="G233" s="14">
        <f>IF($A233="","",$K$3+SUM($E$2:$E233)-SUM($F$2:$F233))</f>
        <v/>
      </c>
      <c r="H233" s="12" t="n"/>
    </row>
    <row r="234">
      <c r="A234" s="2" t="n"/>
      <c r="B234" s="3">
        <f>IF($A234="","",TEXT($A234,"mmmm yyyy"))</f>
        <v/>
      </c>
      <c r="C234" s="4" t="n"/>
      <c r="D234" s="4" t="n"/>
      <c r="E234" s="5" t="n"/>
      <c r="F234" s="5" t="n"/>
      <c r="G234" s="6">
        <f>IF($A234="","",$K$3+SUM($E$2:$E234)-SUM($F$2:$F234))</f>
        <v/>
      </c>
      <c r="H234" s="4" t="n"/>
    </row>
    <row r="235">
      <c r="A235" s="10" t="n"/>
      <c r="B235" s="11">
        <f>IF($A235="","",TEXT($A235,"mmmm yyyy"))</f>
        <v/>
      </c>
      <c r="C235" s="12" t="n"/>
      <c r="D235" s="12" t="n"/>
      <c r="E235" s="13" t="n"/>
      <c r="F235" s="13" t="n"/>
      <c r="G235" s="14">
        <f>IF($A235="","",$K$3+SUM($E$2:$E235)-SUM($F$2:$F235))</f>
        <v/>
      </c>
      <c r="H235" s="12" t="n"/>
    </row>
    <row r="236">
      <c r="A236" s="2" t="n"/>
      <c r="B236" s="3">
        <f>IF($A236="","",TEXT($A236,"mmmm yyyy"))</f>
        <v/>
      </c>
      <c r="C236" s="4" t="n"/>
      <c r="D236" s="4" t="n"/>
      <c r="E236" s="5" t="n"/>
      <c r="F236" s="5" t="n"/>
      <c r="G236" s="6">
        <f>IF($A236="","",$K$3+SUM($E$2:$E236)-SUM($F$2:$F236))</f>
        <v/>
      </c>
      <c r="H236" s="4" t="n"/>
    </row>
    <row r="237">
      <c r="A237" s="10" t="n"/>
      <c r="B237" s="11">
        <f>IF($A237="","",TEXT($A237,"mmmm yyyy"))</f>
        <v/>
      </c>
      <c r="C237" s="12" t="n"/>
      <c r="D237" s="12" t="n"/>
      <c r="E237" s="13" t="n"/>
      <c r="F237" s="13" t="n"/>
      <c r="G237" s="14">
        <f>IF($A237="","",$K$3+SUM($E$2:$E237)-SUM($F$2:$F237))</f>
        <v/>
      </c>
      <c r="H237" s="12" t="n"/>
    </row>
    <row r="238">
      <c r="A238" s="2" t="n"/>
      <c r="B238" s="3">
        <f>IF($A238="","",TEXT($A238,"mmmm yyyy"))</f>
        <v/>
      </c>
      <c r="C238" s="4" t="n"/>
      <c r="D238" s="4" t="n"/>
      <c r="E238" s="5" t="n"/>
      <c r="F238" s="5" t="n"/>
      <c r="G238" s="6">
        <f>IF($A238="","",$K$3+SUM($E$2:$E238)-SUM($F$2:$F238))</f>
        <v/>
      </c>
      <c r="H238" s="4" t="n"/>
    </row>
    <row r="239">
      <c r="A239" s="10" t="n"/>
      <c r="B239" s="11">
        <f>IF($A239="","",TEXT($A239,"mmmm yyyy"))</f>
        <v/>
      </c>
      <c r="C239" s="12" t="n"/>
      <c r="D239" s="12" t="n"/>
      <c r="E239" s="13" t="n"/>
      <c r="F239" s="13" t="n"/>
      <c r="G239" s="14">
        <f>IF($A239="","",$K$3+SUM($E$2:$E239)-SUM($F$2:$F239))</f>
        <v/>
      </c>
      <c r="H239" s="12" t="n"/>
    </row>
    <row r="240">
      <c r="A240" s="2" t="n"/>
      <c r="B240" s="3">
        <f>IF($A240="","",TEXT($A240,"mmmm yyyy"))</f>
        <v/>
      </c>
      <c r="C240" s="4" t="n"/>
      <c r="D240" s="4" t="n"/>
      <c r="E240" s="5" t="n"/>
      <c r="F240" s="5" t="n"/>
      <c r="G240" s="6">
        <f>IF($A240="","",$K$3+SUM($E$2:$E240)-SUM($F$2:$F240))</f>
        <v/>
      </c>
      <c r="H240" s="4" t="n"/>
    </row>
    <row r="241">
      <c r="A241" s="10" t="n"/>
      <c r="B241" s="11">
        <f>IF($A241="","",TEXT($A241,"mmmm yyyy"))</f>
        <v/>
      </c>
      <c r="C241" s="12" t="n"/>
      <c r="D241" s="12" t="n"/>
      <c r="E241" s="13" t="n"/>
      <c r="F241" s="13" t="n"/>
      <c r="G241" s="14">
        <f>IF($A241="","",$K$3+SUM($E$2:$E241)-SUM($F$2:$F241))</f>
        <v/>
      </c>
      <c r="H241" s="12" t="n"/>
    </row>
    <row r="242">
      <c r="A242" s="2" t="n"/>
      <c r="B242" s="3">
        <f>IF($A242="","",TEXT($A242,"mmmm yyyy"))</f>
        <v/>
      </c>
      <c r="C242" s="4" t="n"/>
      <c r="D242" s="4" t="n"/>
      <c r="E242" s="5" t="n"/>
      <c r="F242" s="5" t="n"/>
      <c r="G242" s="6">
        <f>IF($A242="","",$K$3+SUM($E$2:$E242)-SUM($F$2:$F242))</f>
        <v/>
      </c>
      <c r="H242" s="4" t="n"/>
    </row>
    <row r="243">
      <c r="A243" s="10" t="n"/>
      <c r="B243" s="11">
        <f>IF($A243="","",TEXT($A243,"mmmm yyyy"))</f>
        <v/>
      </c>
      <c r="C243" s="12" t="n"/>
      <c r="D243" s="12" t="n"/>
      <c r="E243" s="13" t="n"/>
      <c r="F243" s="13" t="n"/>
      <c r="G243" s="14">
        <f>IF($A243="","",$K$3+SUM($E$2:$E243)-SUM($F$2:$F243))</f>
        <v/>
      </c>
      <c r="H243" s="12" t="n"/>
    </row>
    <row r="244">
      <c r="A244" s="2" t="n"/>
      <c r="B244" s="3">
        <f>IF($A244="","",TEXT($A244,"mmmm yyyy"))</f>
        <v/>
      </c>
      <c r="C244" s="4" t="n"/>
      <c r="D244" s="4" t="n"/>
      <c r="E244" s="5" t="n"/>
      <c r="F244" s="5" t="n"/>
      <c r="G244" s="6">
        <f>IF($A244="","",$K$3+SUM($E$2:$E244)-SUM($F$2:$F244))</f>
        <v/>
      </c>
      <c r="H244" s="4" t="n"/>
    </row>
    <row r="245">
      <c r="A245" s="10" t="n"/>
      <c r="B245" s="11">
        <f>IF($A245="","",TEXT($A245,"mmmm yyyy"))</f>
        <v/>
      </c>
      <c r="C245" s="12" t="n"/>
      <c r="D245" s="12" t="n"/>
      <c r="E245" s="13" t="n"/>
      <c r="F245" s="13" t="n"/>
      <c r="G245" s="14">
        <f>IF($A245="","",$K$3+SUM($E$2:$E245)-SUM($F$2:$F245))</f>
        <v/>
      </c>
      <c r="H245" s="12" t="n"/>
    </row>
    <row r="246">
      <c r="A246" s="2" t="n"/>
      <c r="B246" s="3">
        <f>IF($A246="","",TEXT($A246,"mmmm yyyy"))</f>
        <v/>
      </c>
      <c r="C246" s="4" t="n"/>
      <c r="D246" s="4" t="n"/>
      <c r="E246" s="5" t="n"/>
      <c r="F246" s="5" t="n"/>
      <c r="G246" s="6">
        <f>IF($A246="","",$K$3+SUM($E$2:$E246)-SUM($F$2:$F246))</f>
        <v/>
      </c>
      <c r="H246" s="4" t="n"/>
    </row>
    <row r="247">
      <c r="A247" s="10" t="n"/>
      <c r="B247" s="11">
        <f>IF($A247="","",TEXT($A247,"mmmm yyyy"))</f>
        <v/>
      </c>
      <c r="C247" s="12" t="n"/>
      <c r="D247" s="12" t="n"/>
      <c r="E247" s="13" t="n"/>
      <c r="F247" s="13" t="n"/>
      <c r="G247" s="14">
        <f>IF($A247="","",$K$3+SUM($E$2:$E247)-SUM($F$2:$F247))</f>
        <v/>
      </c>
      <c r="H247" s="12" t="n"/>
    </row>
    <row r="248">
      <c r="A248" s="2" t="n"/>
      <c r="B248" s="3">
        <f>IF($A248="","",TEXT($A248,"mmmm yyyy"))</f>
        <v/>
      </c>
      <c r="C248" s="4" t="n"/>
      <c r="D248" s="4" t="n"/>
      <c r="E248" s="5" t="n"/>
      <c r="F248" s="5" t="n"/>
      <c r="G248" s="6">
        <f>IF($A248="","",$K$3+SUM($E$2:$E248)-SUM($F$2:$F248))</f>
        <v/>
      </c>
      <c r="H248" s="4" t="n"/>
    </row>
    <row r="249">
      <c r="A249" s="10" t="n"/>
      <c r="B249" s="11">
        <f>IF($A249="","",TEXT($A249,"mmmm yyyy"))</f>
        <v/>
      </c>
      <c r="C249" s="12" t="n"/>
      <c r="D249" s="12" t="n"/>
      <c r="E249" s="13" t="n"/>
      <c r="F249" s="13" t="n"/>
      <c r="G249" s="14">
        <f>IF($A249="","",$K$3+SUM($E$2:$E249)-SUM($F$2:$F249))</f>
        <v/>
      </c>
      <c r="H249" s="12" t="n"/>
    </row>
    <row r="250">
      <c r="A250" s="2" t="n"/>
      <c r="B250" s="3">
        <f>IF($A250="","",TEXT($A250,"mmmm yyyy"))</f>
        <v/>
      </c>
      <c r="C250" s="4" t="n"/>
      <c r="D250" s="4" t="n"/>
      <c r="E250" s="5" t="n"/>
      <c r="F250" s="5" t="n"/>
      <c r="G250" s="6">
        <f>IF($A250="","",$K$3+SUM($E$2:$E250)-SUM($F$2:$F250))</f>
        <v/>
      </c>
      <c r="H250" s="4" t="n"/>
    </row>
    <row r="251">
      <c r="A251" s="10" t="n"/>
      <c r="B251" s="11">
        <f>IF($A251="","",TEXT($A251,"mmmm yyyy"))</f>
        <v/>
      </c>
      <c r="C251" s="12" t="n"/>
      <c r="D251" s="12" t="n"/>
      <c r="E251" s="13" t="n"/>
      <c r="F251" s="13" t="n"/>
      <c r="G251" s="14">
        <f>IF($A251="","",$K$3+SUM($E$2:$E251)-SUM($F$2:$F251))</f>
        <v/>
      </c>
      <c r="H251" s="12" t="n"/>
    </row>
    <row r="252">
      <c r="A252" s="2" t="n"/>
      <c r="B252" s="3">
        <f>IF($A252="","",TEXT($A252,"mmmm yyyy"))</f>
        <v/>
      </c>
      <c r="C252" s="4" t="n"/>
      <c r="D252" s="4" t="n"/>
      <c r="E252" s="5" t="n"/>
      <c r="F252" s="5" t="n"/>
      <c r="G252" s="6">
        <f>IF($A252="","",$K$3+SUM($E$2:$E252)-SUM($F$2:$F252))</f>
        <v/>
      </c>
      <c r="H252" s="4" t="n"/>
    </row>
    <row r="253">
      <c r="A253" s="10" t="n"/>
      <c r="B253" s="11">
        <f>IF($A253="","",TEXT($A253,"mmmm yyyy"))</f>
        <v/>
      </c>
      <c r="C253" s="12" t="n"/>
      <c r="D253" s="12" t="n"/>
      <c r="E253" s="13" t="n"/>
      <c r="F253" s="13" t="n"/>
      <c r="G253" s="14">
        <f>IF($A253="","",$K$3+SUM($E$2:$E253)-SUM($F$2:$F253))</f>
        <v/>
      </c>
      <c r="H253" s="12" t="n"/>
    </row>
    <row r="254">
      <c r="A254" s="2" t="n"/>
      <c r="B254" s="3">
        <f>IF($A254="","",TEXT($A254,"mmmm yyyy"))</f>
        <v/>
      </c>
      <c r="C254" s="4" t="n"/>
      <c r="D254" s="4" t="n"/>
      <c r="E254" s="5" t="n"/>
      <c r="F254" s="5" t="n"/>
      <c r="G254" s="6">
        <f>IF($A254="","",$K$3+SUM($E$2:$E254)-SUM($F$2:$F254))</f>
        <v/>
      </c>
      <c r="H254" s="4" t="n"/>
    </row>
    <row r="255">
      <c r="A255" s="10" t="n"/>
      <c r="B255" s="11">
        <f>IF($A255="","",TEXT($A255,"mmmm yyyy"))</f>
        <v/>
      </c>
      <c r="C255" s="12" t="n"/>
      <c r="D255" s="12" t="n"/>
      <c r="E255" s="13" t="n"/>
      <c r="F255" s="13" t="n"/>
      <c r="G255" s="14">
        <f>IF($A255="","",$K$3+SUM($E$2:$E255)-SUM($F$2:$F255))</f>
        <v/>
      </c>
      <c r="H255" s="12" t="n"/>
    </row>
    <row r="256">
      <c r="A256" s="2" t="n"/>
      <c r="B256" s="3">
        <f>IF($A256="","",TEXT($A256,"mmmm yyyy"))</f>
        <v/>
      </c>
      <c r="C256" s="4" t="n"/>
      <c r="D256" s="4" t="n"/>
      <c r="E256" s="5" t="n"/>
      <c r="F256" s="5" t="n"/>
      <c r="G256" s="6">
        <f>IF($A256="","",$K$3+SUM($E$2:$E256)-SUM($F$2:$F256))</f>
        <v/>
      </c>
      <c r="H256" s="4" t="n"/>
    </row>
    <row r="257">
      <c r="A257" s="10" t="n"/>
      <c r="B257" s="11">
        <f>IF($A257="","",TEXT($A257,"mmmm yyyy"))</f>
        <v/>
      </c>
      <c r="C257" s="12" t="n"/>
      <c r="D257" s="12" t="n"/>
      <c r="E257" s="13" t="n"/>
      <c r="F257" s="13" t="n"/>
      <c r="G257" s="14">
        <f>IF($A257="","",$K$3+SUM($E$2:$E257)-SUM($F$2:$F257))</f>
        <v/>
      </c>
      <c r="H257" s="12" t="n"/>
    </row>
    <row r="258">
      <c r="A258" s="2" t="n"/>
      <c r="B258" s="3">
        <f>IF($A258="","",TEXT($A258,"mmmm yyyy"))</f>
        <v/>
      </c>
      <c r="C258" s="4" t="n"/>
      <c r="D258" s="4" t="n"/>
      <c r="E258" s="5" t="n"/>
      <c r="F258" s="5" t="n"/>
      <c r="G258" s="6">
        <f>IF($A258="","",$K$3+SUM($E$2:$E258)-SUM($F$2:$F258))</f>
        <v/>
      </c>
      <c r="H258" s="4" t="n"/>
    </row>
    <row r="259">
      <c r="A259" s="10" t="n"/>
      <c r="B259" s="11">
        <f>IF($A259="","",TEXT($A259,"mmmm yyyy"))</f>
        <v/>
      </c>
      <c r="C259" s="12" t="n"/>
      <c r="D259" s="12" t="n"/>
      <c r="E259" s="13" t="n"/>
      <c r="F259" s="13" t="n"/>
      <c r="G259" s="14">
        <f>IF($A259="","",$K$3+SUM($E$2:$E259)-SUM($F$2:$F259))</f>
        <v/>
      </c>
      <c r="H259" s="12" t="n"/>
    </row>
    <row r="260">
      <c r="A260" s="2" t="n"/>
      <c r="B260" s="3">
        <f>IF($A260="","",TEXT($A260,"mmmm yyyy"))</f>
        <v/>
      </c>
      <c r="C260" s="4" t="n"/>
      <c r="D260" s="4" t="n"/>
      <c r="E260" s="5" t="n"/>
      <c r="F260" s="5" t="n"/>
      <c r="G260" s="6">
        <f>IF($A260="","",$K$3+SUM($E$2:$E260)-SUM($F$2:$F260))</f>
        <v/>
      </c>
      <c r="H260" s="4" t="n"/>
    </row>
    <row r="261">
      <c r="A261" s="10" t="n"/>
      <c r="B261" s="11">
        <f>IF($A261="","",TEXT($A261,"mmmm yyyy"))</f>
        <v/>
      </c>
      <c r="C261" s="12" t="n"/>
      <c r="D261" s="12" t="n"/>
      <c r="E261" s="13" t="n"/>
      <c r="F261" s="13" t="n"/>
      <c r="G261" s="14">
        <f>IF($A261="","",$K$3+SUM($E$2:$E261)-SUM($F$2:$F261))</f>
        <v/>
      </c>
      <c r="H261" s="12" t="n"/>
    </row>
    <row r="262">
      <c r="A262" s="2" t="n"/>
      <c r="B262" s="3">
        <f>IF($A262="","",TEXT($A262,"mmmm yyyy"))</f>
        <v/>
      </c>
      <c r="C262" s="4" t="n"/>
      <c r="D262" s="4" t="n"/>
      <c r="E262" s="5" t="n"/>
      <c r="F262" s="5" t="n"/>
      <c r="G262" s="6">
        <f>IF($A262="","",$K$3+SUM($E$2:$E262)-SUM($F$2:$F262))</f>
        <v/>
      </c>
      <c r="H262" s="4" t="n"/>
    </row>
    <row r="263">
      <c r="A263" s="10" t="n"/>
      <c r="B263" s="11">
        <f>IF($A263="","",TEXT($A263,"mmmm yyyy"))</f>
        <v/>
      </c>
      <c r="C263" s="12" t="n"/>
      <c r="D263" s="12" t="n"/>
      <c r="E263" s="13" t="n"/>
      <c r="F263" s="13" t="n"/>
      <c r="G263" s="14">
        <f>IF($A263="","",$K$3+SUM($E$2:$E263)-SUM($F$2:$F263))</f>
        <v/>
      </c>
      <c r="H263" s="12" t="n"/>
    </row>
    <row r="264">
      <c r="A264" s="2" t="n"/>
      <c r="B264" s="3">
        <f>IF($A264="","",TEXT($A264,"mmmm yyyy"))</f>
        <v/>
      </c>
      <c r="C264" s="4" t="n"/>
      <c r="D264" s="4" t="n"/>
      <c r="E264" s="5" t="n"/>
      <c r="F264" s="5" t="n"/>
      <c r="G264" s="6">
        <f>IF($A264="","",$K$3+SUM($E$2:$E264)-SUM($F$2:$F264))</f>
        <v/>
      </c>
      <c r="H264" s="4" t="n"/>
    </row>
    <row r="265">
      <c r="A265" s="10" t="n"/>
      <c r="B265" s="11">
        <f>IF($A265="","",TEXT($A265,"mmmm yyyy"))</f>
        <v/>
      </c>
      <c r="C265" s="12" t="n"/>
      <c r="D265" s="12" t="n"/>
      <c r="E265" s="13" t="n"/>
      <c r="F265" s="13" t="n"/>
      <c r="G265" s="14">
        <f>IF($A265="","",$K$3+SUM($E$2:$E265)-SUM($F$2:$F265))</f>
        <v/>
      </c>
      <c r="H265" s="12" t="n"/>
    </row>
    <row r="266">
      <c r="A266" s="2" t="n"/>
      <c r="B266" s="3">
        <f>IF($A266="","",TEXT($A266,"mmmm yyyy"))</f>
        <v/>
      </c>
      <c r="C266" s="4" t="n"/>
      <c r="D266" s="4" t="n"/>
      <c r="E266" s="5" t="n"/>
      <c r="F266" s="5" t="n"/>
      <c r="G266" s="6">
        <f>IF($A266="","",$K$3+SUM($E$2:$E266)-SUM($F$2:$F266))</f>
        <v/>
      </c>
      <c r="H266" s="4" t="n"/>
    </row>
    <row r="267">
      <c r="A267" s="10" t="n"/>
      <c r="B267" s="11">
        <f>IF($A267="","",TEXT($A267,"mmmm yyyy"))</f>
        <v/>
      </c>
      <c r="C267" s="12" t="n"/>
      <c r="D267" s="12" t="n"/>
      <c r="E267" s="13" t="n"/>
      <c r="F267" s="13" t="n"/>
      <c r="G267" s="14">
        <f>IF($A267="","",$K$3+SUM($E$2:$E267)-SUM($F$2:$F267))</f>
        <v/>
      </c>
      <c r="H267" s="12" t="n"/>
    </row>
    <row r="268">
      <c r="A268" s="2" t="n"/>
      <c r="B268" s="3">
        <f>IF($A268="","",TEXT($A268,"mmmm yyyy"))</f>
        <v/>
      </c>
      <c r="C268" s="4" t="n"/>
      <c r="D268" s="4" t="n"/>
      <c r="E268" s="5" t="n"/>
      <c r="F268" s="5" t="n"/>
      <c r="G268" s="6">
        <f>IF($A268="","",$K$3+SUM($E$2:$E268)-SUM($F$2:$F268))</f>
        <v/>
      </c>
      <c r="H268" s="4" t="n"/>
    </row>
    <row r="269">
      <c r="A269" s="10" t="n"/>
      <c r="B269" s="11">
        <f>IF($A269="","",TEXT($A269,"mmmm yyyy"))</f>
        <v/>
      </c>
      <c r="C269" s="12" t="n"/>
      <c r="D269" s="12" t="n"/>
      <c r="E269" s="13" t="n"/>
      <c r="F269" s="13" t="n"/>
      <c r="G269" s="14">
        <f>IF($A269="","",$K$3+SUM($E$2:$E269)-SUM($F$2:$F269))</f>
        <v/>
      </c>
      <c r="H269" s="12" t="n"/>
    </row>
    <row r="270">
      <c r="A270" s="2" t="n"/>
      <c r="B270" s="3">
        <f>IF($A270="","",TEXT($A270,"mmmm yyyy"))</f>
        <v/>
      </c>
      <c r="C270" s="4" t="n"/>
      <c r="D270" s="4" t="n"/>
      <c r="E270" s="5" t="n"/>
      <c r="F270" s="5" t="n"/>
      <c r="G270" s="6">
        <f>IF($A270="","",$K$3+SUM($E$2:$E270)-SUM($F$2:$F270))</f>
        <v/>
      </c>
      <c r="H270" s="4" t="n"/>
    </row>
    <row r="271">
      <c r="A271" s="10" t="n"/>
      <c r="B271" s="11">
        <f>IF($A271="","",TEXT($A271,"mmmm yyyy"))</f>
        <v/>
      </c>
      <c r="C271" s="12" t="n"/>
      <c r="D271" s="12" t="n"/>
      <c r="E271" s="13" t="n"/>
      <c r="F271" s="13" t="n"/>
      <c r="G271" s="14">
        <f>IF($A271="","",$K$3+SUM($E$2:$E271)-SUM($F$2:$F271))</f>
        <v/>
      </c>
      <c r="H271" s="12" t="n"/>
    </row>
    <row r="272">
      <c r="A272" s="2" t="n"/>
      <c r="B272" s="3">
        <f>IF($A272="","",TEXT($A272,"mmmm yyyy"))</f>
        <v/>
      </c>
      <c r="C272" s="4" t="n"/>
      <c r="D272" s="4" t="n"/>
      <c r="E272" s="5" t="n"/>
      <c r="F272" s="5" t="n"/>
      <c r="G272" s="6">
        <f>IF($A272="","",$K$3+SUM($E$2:$E272)-SUM($F$2:$F272))</f>
        <v/>
      </c>
      <c r="H272" s="4" t="n"/>
    </row>
    <row r="273">
      <c r="A273" s="10" t="n"/>
      <c r="B273" s="11">
        <f>IF($A273="","",TEXT($A273,"mmmm yyyy"))</f>
        <v/>
      </c>
      <c r="C273" s="12" t="n"/>
      <c r="D273" s="12" t="n"/>
      <c r="E273" s="13" t="n"/>
      <c r="F273" s="13" t="n"/>
      <c r="G273" s="14">
        <f>IF($A273="","",$K$3+SUM($E$2:$E273)-SUM($F$2:$F273))</f>
        <v/>
      </c>
      <c r="H273" s="12" t="n"/>
    </row>
    <row r="274">
      <c r="A274" s="2" t="n"/>
      <c r="B274" s="3">
        <f>IF($A274="","",TEXT($A274,"mmmm yyyy"))</f>
        <v/>
      </c>
      <c r="C274" s="4" t="n"/>
      <c r="D274" s="4" t="n"/>
      <c r="E274" s="5" t="n"/>
      <c r="F274" s="5" t="n"/>
      <c r="G274" s="6">
        <f>IF($A274="","",$K$3+SUM($E$2:$E274)-SUM($F$2:$F274))</f>
        <v/>
      </c>
      <c r="H274" s="4" t="n"/>
    </row>
    <row r="275">
      <c r="A275" s="10" t="n"/>
      <c r="B275" s="11">
        <f>IF($A275="","",TEXT($A275,"mmmm yyyy"))</f>
        <v/>
      </c>
      <c r="C275" s="12" t="n"/>
      <c r="D275" s="12" t="n"/>
      <c r="E275" s="13" t="n"/>
      <c r="F275" s="13" t="n"/>
      <c r="G275" s="14">
        <f>IF($A275="","",$K$3+SUM($E$2:$E275)-SUM($F$2:$F275))</f>
        <v/>
      </c>
      <c r="H275" s="12" t="n"/>
    </row>
    <row r="276">
      <c r="A276" s="2" t="n"/>
      <c r="B276" s="3">
        <f>IF($A276="","",TEXT($A276,"mmmm yyyy"))</f>
        <v/>
      </c>
      <c r="C276" s="4" t="n"/>
      <c r="D276" s="4" t="n"/>
      <c r="E276" s="5" t="n"/>
      <c r="F276" s="5" t="n"/>
      <c r="G276" s="6">
        <f>IF($A276="","",$K$3+SUM($E$2:$E276)-SUM($F$2:$F276))</f>
        <v/>
      </c>
      <c r="H276" s="4" t="n"/>
    </row>
    <row r="277">
      <c r="A277" s="10" t="n"/>
      <c r="B277" s="11">
        <f>IF($A277="","",TEXT($A277,"mmmm yyyy"))</f>
        <v/>
      </c>
      <c r="C277" s="12" t="n"/>
      <c r="D277" s="12" t="n"/>
      <c r="E277" s="13" t="n"/>
      <c r="F277" s="13" t="n"/>
      <c r="G277" s="14">
        <f>IF($A277="","",$K$3+SUM($E$2:$E277)-SUM($F$2:$F277))</f>
        <v/>
      </c>
      <c r="H277" s="12" t="n"/>
    </row>
    <row r="278">
      <c r="A278" s="2" t="n"/>
      <c r="B278" s="3">
        <f>IF($A278="","",TEXT($A278,"mmmm yyyy"))</f>
        <v/>
      </c>
      <c r="C278" s="4" t="n"/>
      <c r="D278" s="4" t="n"/>
      <c r="E278" s="5" t="n"/>
      <c r="F278" s="5" t="n"/>
      <c r="G278" s="6">
        <f>IF($A278="","",$K$3+SUM($E$2:$E278)-SUM($F$2:$F278))</f>
        <v/>
      </c>
      <c r="H278" s="4" t="n"/>
    </row>
    <row r="279">
      <c r="A279" s="10" t="n"/>
      <c r="B279" s="11">
        <f>IF($A279="","",TEXT($A279,"mmmm yyyy"))</f>
        <v/>
      </c>
      <c r="C279" s="12" t="n"/>
      <c r="D279" s="12" t="n"/>
      <c r="E279" s="13" t="n"/>
      <c r="F279" s="13" t="n"/>
      <c r="G279" s="14">
        <f>IF($A279="","",$K$3+SUM($E$2:$E279)-SUM($F$2:$F279))</f>
        <v/>
      </c>
      <c r="H279" s="12" t="n"/>
    </row>
    <row r="280">
      <c r="A280" s="2" t="n"/>
      <c r="B280" s="3">
        <f>IF($A280="","",TEXT($A280,"mmmm yyyy"))</f>
        <v/>
      </c>
      <c r="C280" s="4" t="n"/>
      <c r="D280" s="4" t="n"/>
      <c r="E280" s="5" t="n"/>
      <c r="F280" s="5" t="n"/>
      <c r="G280" s="6">
        <f>IF($A280="","",$K$3+SUM($E$2:$E280)-SUM($F$2:$F280))</f>
        <v/>
      </c>
      <c r="H280" s="4" t="n"/>
    </row>
    <row r="281">
      <c r="A281" s="10" t="n"/>
      <c r="B281" s="11">
        <f>IF($A281="","",TEXT($A281,"mmmm yyyy"))</f>
        <v/>
      </c>
      <c r="C281" s="12" t="n"/>
      <c r="D281" s="12" t="n"/>
      <c r="E281" s="13" t="n"/>
      <c r="F281" s="13" t="n"/>
      <c r="G281" s="14">
        <f>IF($A281="","",$K$3+SUM($E$2:$E281)-SUM($F$2:$F281))</f>
        <v/>
      </c>
      <c r="H281" s="12" t="n"/>
    </row>
    <row r="282">
      <c r="A282" s="2" t="n"/>
      <c r="B282" s="3">
        <f>IF($A282="","",TEXT($A282,"mmmm yyyy"))</f>
        <v/>
      </c>
      <c r="C282" s="4" t="n"/>
      <c r="D282" s="4" t="n"/>
      <c r="E282" s="5" t="n"/>
      <c r="F282" s="5" t="n"/>
      <c r="G282" s="6">
        <f>IF($A282="","",$K$3+SUM($E$2:$E282)-SUM($F$2:$F282))</f>
        <v/>
      </c>
      <c r="H282" s="4" t="n"/>
    </row>
    <row r="283">
      <c r="A283" s="10" t="n"/>
      <c r="B283" s="11">
        <f>IF($A283="","",TEXT($A283,"mmmm yyyy"))</f>
        <v/>
      </c>
      <c r="C283" s="12" t="n"/>
      <c r="D283" s="12" t="n"/>
      <c r="E283" s="13" t="n"/>
      <c r="F283" s="13" t="n"/>
      <c r="G283" s="14">
        <f>IF($A283="","",$K$3+SUM($E$2:$E283)-SUM($F$2:$F283))</f>
        <v/>
      </c>
      <c r="H283" s="12" t="n"/>
    </row>
    <row r="284">
      <c r="A284" s="2" t="n"/>
      <c r="B284" s="3">
        <f>IF($A284="","",TEXT($A284,"mmmm yyyy"))</f>
        <v/>
      </c>
      <c r="C284" s="4" t="n"/>
      <c r="D284" s="4" t="n"/>
      <c r="E284" s="5" t="n"/>
      <c r="F284" s="5" t="n"/>
      <c r="G284" s="6">
        <f>IF($A284="","",$K$3+SUM($E$2:$E284)-SUM($F$2:$F284))</f>
        <v/>
      </c>
      <c r="H284" s="4" t="n"/>
    </row>
    <row r="285">
      <c r="A285" s="10" t="n"/>
      <c r="B285" s="11">
        <f>IF($A285="","",TEXT($A285,"mmmm yyyy"))</f>
        <v/>
      </c>
      <c r="C285" s="12" t="n"/>
      <c r="D285" s="12" t="n"/>
      <c r="E285" s="13" t="n"/>
      <c r="F285" s="13" t="n"/>
      <c r="G285" s="14">
        <f>IF($A285="","",$K$3+SUM($E$2:$E285)-SUM($F$2:$F285))</f>
        <v/>
      </c>
      <c r="H285" s="12" t="n"/>
    </row>
    <row r="286">
      <c r="A286" s="2" t="n"/>
      <c r="B286" s="3">
        <f>IF($A286="","",TEXT($A286,"mmmm yyyy"))</f>
        <v/>
      </c>
      <c r="C286" s="4" t="n"/>
      <c r="D286" s="4" t="n"/>
      <c r="E286" s="5" t="n"/>
      <c r="F286" s="5" t="n"/>
      <c r="G286" s="6">
        <f>IF($A286="","",$K$3+SUM($E$2:$E286)-SUM($F$2:$F286))</f>
        <v/>
      </c>
      <c r="H286" s="4" t="n"/>
    </row>
    <row r="287">
      <c r="A287" s="10" t="n"/>
      <c r="B287" s="11">
        <f>IF($A287="","",TEXT($A287,"mmmm yyyy"))</f>
        <v/>
      </c>
      <c r="C287" s="12" t="n"/>
      <c r="D287" s="12" t="n"/>
      <c r="E287" s="13" t="n"/>
      <c r="F287" s="13" t="n"/>
      <c r="G287" s="14">
        <f>IF($A287="","",$K$3+SUM($E$2:$E287)-SUM($F$2:$F287))</f>
        <v/>
      </c>
      <c r="H287" s="12" t="n"/>
    </row>
    <row r="288">
      <c r="A288" s="2" t="n"/>
      <c r="B288" s="3">
        <f>IF($A288="","",TEXT($A288,"mmmm yyyy"))</f>
        <v/>
      </c>
      <c r="C288" s="4" t="n"/>
      <c r="D288" s="4" t="n"/>
      <c r="E288" s="5" t="n"/>
      <c r="F288" s="5" t="n"/>
      <c r="G288" s="6">
        <f>IF($A288="","",$K$3+SUM($E$2:$E288)-SUM($F$2:$F288))</f>
        <v/>
      </c>
      <c r="H288" s="4" t="n"/>
    </row>
    <row r="289">
      <c r="A289" s="10" t="n"/>
      <c r="B289" s="11">
        <f>IF($A289="","",TEXT($A289,"mmmm yyyy"))</f>
        <v/>
      </c>
      <c r="C289" s="12" t="n"/>
      <c r="D289" s="12" t="n"/>
      <c r="E289" s="13" t="n"/>
      <c r="F289" s="13" t="n"/>
      <c r="G289" s="14">
        <f>IF($A289="","",$K$3+SUM($E$2:$E289)-SUM($F$2:$F289))</f>
        <v/>
      </c>
      <c r="H289" s="12" t="n"/>
    </row>
    <row r="290">
      <c r="A290" s="2" t="n"/>
      <c r="B290" s="3">
        <f>IF($A290="","",TEXT($A290,"mmmm yyyy"))</f>
        <v/>
      </c>
      <c r="C290" s="4" t="n"/>
      <c r="D290" s="4" t="n"/>
      <c r="E290" s="5" t="n"/>
      <c r="F290" s="5" t="n"/>
      <c r="G290" s="6">
        <f>IF($A290="","",$K$3+SUM($E$2:$E290)-SUM($F$2:$F290))</f>
        <v/>
      </c>
      <c r="H290" s="4" t="n"/>
    </row>
    <row r="291">
      <c r="A291" s="10" t="n"/>
      <c r="B291" s="11">
        <f>IF($A291="","",TEXT($A291,"mmmm yyyy"))</f>
        <v/>
      </c>
      <c r="C291" s="12" t="n"/>
      <c r="D291" s="12" t="n"/>
      <c r="E291" s="13" t="n"/>
      <c r="F291" s="13" t="n"/>
      <c r="G291" s="14">
        <f>IF($A291="","",$K$3+SUM($E$2:$E291)-SUM($F$2:$F291))</f>
        <v/>
      </c>
      <c r="H291" s="12" t="n"/>
    </row>
    <row r="292">
      <c r="A292" s="2" t="n"/>
      <c r="B292" s="3">
        <f>IF($A292="","",TEXT($A292,"mmmm yyyy"))</f>
        <v/>
      </c>
      <c r="C292" s="4" t="n"/>
      <c r="D292" s="4" t="n"/>
      <c r="E292" s="5" t="n"/>
      <c r="F292" s="5" t="n"/>
      <c r="G292" s="6">
        <f>IF($A292="","",$K$3+SUM($E$2:$E292)-SUM($F$2:$F292))</f>
        <v/>
      </c>
      <c r="H292" s="4" t="n"/>
    </row>
    <row r="293">
      <c r="A293" s="10" t="n"/>
      <c r="B293" s="11">
        <f>IF($A293="","",TEXT($A293,"mmmm yyyy"))</f>
        <v/>
      </c>
      <c r="C293" s="12" t="n"/>
      <c r="D293" s="12" t="n"/>
      <c r="E293" s="13" t="n"/>
      <c r="F293" s="13" t="n"/>
      <c r="G293" s="14">
        <f>IF($A293="","",$K$3+SUM($E$2:$E293)-SUM($F$2:$F293))</f>
        <v/>
      </c>
      <c r="H293" s="12" t="n"/>
    </row>
    <row r="294">
      <c r="A294" s="2" t="n"/>
      <c r="B294" s="3">
        <f>IF($A294="","",TEXT($A294,"mmmm yyyy"))</f>
        <v/>
      </c>
      <c r="C294" s="4" t="n"/>
      <c r="D294" s="4" t="n"/>
      <c r="E294" s="5" t="n"/>
      <c r="F294" s="5" t="n"/>
      <c r="G294" s="6">
        <f>IF($A294="","",$K$3+SUM($E$2:$E294)-SUM($F$2:$F294))</f>
        <v/>
      </c>
      <c r="H294" s="4" t="n"/>
    </row>
    <row r="295">
      <c r="A295" s="10" t="n"/>
      <c r="B295" s="11">
        <f>IF($A295="","",TEXT($A295,"mmmm yyyy"))</f>
        <v/>
      </c>
      <c r="C295" s="12" t="n"/>
      <c r="D295" s="12" t="n"/>
      <c r="E295" s="13" t="n"/>
      <c r="F295" s="13" t="n"/>
      <c r="G295" s="14">
        <f>IF($A295="","",$K$3+SUM($E$2:$E295)-SUM($F$2:$F295))</f>
        <v/>
      </c>
      <c r="H295" s="12" t="n"/>
    </row>
    <row r="296">
      <c r="A296" s="2" t="n"/>
      <c r="B296" s="3">
        <f>IF($A296="","",TEXT($A296,"mmmm yyyy"))</f>
        <v/>
      </c>
      <c r="C296" s="4" t="n"/>
      <c r="D296" s="4" t="n"/>
      <c r="E296" s="5" t="n"/>
      <c r="F296" s="5" t="n"/>
      <c r="G296" s="6">
        <f>IF($A296="","",$K$3+SUM($E$2:$E296)-SUM($F$2:$F296))</f>
        <v/>
      </c>
      <c r="H296" s="4" t="n"/>
    </row>
    <row r="297">
      <c r="A297" s="10" t="n"/>
      <c r="B297" s="11">
        <f>IF($A297="","",TEXT($A297,"mmmm yyyy"))</f>
        <v/>
      </c>
      <c r="C297" s="12" t="n"/>
      <c r="D297" s="12" t="n"/>
      <c r="E297" s="13" t="n"/>
      <c r="F297" s="13" t="n"/>
      <c r="G297" s="14">
        <f>IF($A297="","",$K$3+SUM($E$2:$E297)-SUM($F$2:$F297))</f>
        <v/>
      </c>
      <c r="H297" s="12" t="n"/>
    </row>
    <row r="298">
      <c r="A298" s="2" t="n"/>
      <c r="B298" s="3">
        <f>IF($A298="","",TEXT($A298,"mmmm yyyy"))</f>
        <v/>
      </c>
      <c r="C298" s="4" t="n"/>
      <c r="D298" s="4" t="n"/>
      <c r="E298" s="5" t="n"/>
      <c r="F298" s="5" t="n"/>
      <c r="G298" s="6">
        <f>IF($A298="","",$K$3+SUM($E$2:$E298)-SUM($F$2:$F298))</f>
        <v/>
      </c>
      <c r="H298" s="4" t="n"/>
    </row>
    <row r="299">
      <c r="A299" s="10" t="n"/>
      <c r="B299" s="11">
        <f>IF($A299="","",TEXT($A299,"mmmm yyyy"))</f>
        <v/>
      </c>
      <c r="C299" s="12" t="n"/>
      <c r="D299" s="12" t="n"/>
      <c r="E299" s="13" t="n"/>
      <c r="F299" s="13" t="n"/>
      <c r="G299" s="14">
        <f>IF($A299="","",$K$3+SUM($E$2:$E299)-SUM($F$2:$F299))</f>
        <v/>
      </c>
      <c r="H299" s="12" t="n"/>
    </row>
    <row r="300">
      <c r="A300" s="2" t="n"/>
      <c r="B300" s="3">
        <f>IF($A300="","",TEXT($A300,"mmmm yyyy"))</f>
        <v/>
      </c>
      <c r="C300" s="4" t="n"/>
      <c r="D300" s="4" t="n"/>
      <c r="E300" s="5" t="n"/>
      <c r="F300" s="5" t="n"/>
      <c r="G300" s="6">
        <f>IF($A300="","",$K$3+SUM($E$2:$E300)-SUM($F$2:$F300))</f>
        <v/>
      </c>
      <c r="H300" s="4" t="n"/>
    </row>
    <row r="301">
      <c r="A301" s="10" t="n"/>
      <c r="B301" s="11">
        <f>IF($A301="","",TEXT($A301,"mmmm yyyy"))</f>
        <v/>
      </c>
      <c r="C301" s="12" t="n"/>
      <c r="D301" s="12" t="n"/>
      <c r="E301" s="13" t="n"/>
      <c r="F301" s="13" t="n"/>
      <c r="G301" s="14">
        <f>IF($A301="","",$K$3+SUM($E$2:$E301)-SUM($F$2:$F301))</f>
        <v/>
      </c>
      <c r="H301" s="12" t="n"/>
    </row>
    <row r="302">
      <c r="A302" s="2" t="n"/>
      <c r="B302" s="3">
        <f>IF($A302="","",TEXT($A302,"mmmm yyyy"))</f>
        <v/>
      </c>
      <c r="C302" s="4" t="n"/>
      <c r="D302" s="4" t="n"/>
      <c r="E302" s="5" t="n"/>
      <c r="F302" s="5" t="n"/>
      <c r="G302" s="6">
        <f>IF($A302="","",$K$3+SUM($E$2:$E302)-SUM($F$2:$F302))</f>
        <v/>
      </c>
      <c r="H302" s="4" t="n"/>
    </row>
    <row r="303">
      <c r="A303" s="10" t="n"/>
      <c r="B303" s="11">
        <f>IF($A303="","",TEXT($A303,"mmmm yyyy"))</f>
        <v/>
      </c>
      <c r="C303" s="12" t="n"/>
      <c r="D303" s="12" t="n"/>
      <c r="E303" s="13" t="n"/>
      <c r="F303" s="13" t="n"/>
      <c r="G303" s="14">
        <f>IF($A303="","",$K$3+SUM($E$2:$E303)-SUM($F$2:$F303))</f>
        <v/>
      </c>
      <c r="H303" s="12" t="n"/>
    </row>
    <row r="304">
      <c r="A304" s="2" t="n"/>
      <c r="B304" s="3">
        <f>IF($A304="","",TEXT($A304,"mmmm yyyy"))</f>
        <v/>
      </c>
      <c r="C304" s="4" t="n"/>
      <c r="D304" s="4" t="n"/>
      <c r="E304" s="5" t="n"/>
      <c r="F304" s="5" t="n"/>
      <c r="G304" s="6">
        <f>IF($A304="","",$K$3+SUM($E$2:$E304)-SUM($F$2:$F304))</f>
        <v/>
      </c>
      <c r="H304" s="4" t="n"/>
    </row>
    <row r="305">
      <c r="A305" s="10" t="n"/>
      <c r="B305" s="11">
        <f>IF($A305="","",TEXT($A305,"mmmm yyyy"))</f>
        <v/>
      </c>
      <c r="C305" s="12" t="n"/>
      <c r="D305" s="12" t="n"/>
      <c r="E305" s="13" t="n"/>
      <c r="F305" s="13" t="n"/>
      <c r="G305" s="14">
        <f>IF($A305="","",$K$3+SUM($E$2:$E305)-SUM($F$2:$F305))</f>
        <v/>
      </c>
      <c r="H305" s="12" t="n"/>
    </row>
    <row r="306">
      <c r="A306" s="2" t="n"/>
      <c r="B306" s="3">
        <f>IF($A306="","",TEXT($A306,"mmmm yyyy"))</f>
        <v/>
      </c>
      <c r="C306" s="4" t="n"/>
      <c r="D306" s="4" t="n"/>
      <c r="E306" s="5" t="n"/>
      <c r="F306" s="5" t="n"/>
      <c r="G306" s="6">
        <f>IF($A306="","",$K$3+SUM($E$2:$E306)-SUM($F$2:$F306))</f>
        <v/>
      </c>
      <c r="H306" s="4" t="n"/>
    </row>
    <row r="307">
      <c r="A307" s="10" t="n"/>
      <c r="B307" s="11">
        <f>IF($A307="","",TEXT($A307,"mmmm yyyy"))</f>
        <v/>
      </c>
      <c r="C307" s="12" t="n"/>
      <c r="D307" s="12" t="n"/>
      <c r="E307" s="13" t="n"/>
      <c r="F307" s="13" t="n"/>
      <c r="G307" s="14">
        <f>IF($A307="","",$K$3+SUM($E$2:$E307)-SUM($F$2:$F307))</f>
        <v/>
      </c>
      <c r="H307" s="12" t="n"/>
    </row>
    <row r="308">
      <c r="A308" s="2" t="n"/>
      <c r="B308" s="3">
        <f>IF($A308="","",TEXT($A308,"mmmm yyyy"))</f>
        <v/>
      </c>
      <c r="C308" s="4" t="n"/>
      <c r="D308" s="4" t="n"/>
      <c r="E308" s="5" t="n"/>
      <c r="F308" s="5" t="n"/>
      <c r="G308" s="6">
        <f>IF($A308="","",$K$3+SUM($E$2:$E308)-SUM($F$2:$F308))</f>
        <v/>
      </c>
      <c r="H308" s="4" t="n"/>
    </row>
    <row r="309">
      <c r="A309" s="10" t="n"/>
      <c r="B309" s="11">
        <f>IF($A309="","",TEXT($A309,"mmmm yyyy"))</f>
        <v/>
      </c>
      <c r="C309" s="12" t="n"/>
      <c r="D309" s="12" t="n"/>
      <c r="E309" s="13" t="n"/>
      <c r="F309" s="13" t="n"/>
      <c r="G309" s="14">
        <f>IF($A309="","",$K$3+SUM($E$2:$E309)-SUM($F$2:$F309))</f>
        <v/>
      </c>
      <c r="H309" s="12" t="n"/>
    </row>
    <row r="310">
      <c r="A310" s="2" t="n"/>
      <c r="B310" s="3">
        <f>IF($A310="","",TEXT($A310,"mmmm yyyy"))</f>
        <v/>
      </c>
      <c r="C310" s="4" t="n"/>
      <c r="D310" s="4" t="n"/>
      <c r="E310" s="5" t="n"/>
      <c r="F310" s="5" t="n"/>
      <c r="G310" s="6">
        <f>IF($A310="","",$K$3+SUM($E$2:$E310)-SUM($F$2:$F310))</f>
        <v/>
      </c>
      <c r="H310" s="4" t="n"/>
    </row>
    <row r="311">
      <c r="A311" s="10" t="n"/>
      <c r="B311" s="11">
        <f>IF($A311="","",TEXT($A311,"mmmm yyyy"))</f>
        <v/>
      </c>
      <c r="C311" s="12" t="n"/>
      <c r="D311" s="12" t="n"/>
      <c r="E311" s="13" t="n"/>
      <c r="F311" s="13" t="n"/>
      <c r="G311" s="14">
        <f>IF($A311="","",$K$3+SUM($E$2:$E311)-SUM($F$2:$F311))</f>
        <v/>
      </c>
      <c r="H311" s="12" t="n"/>
    </row>
    <row r="312">
      <c r="A312" s="2" t="n"/>
      <c r="B312" s="3">
        <f>IF($A312="","",TEXT($A312,"mmmm yyyy"))</f>
        <v/>
      </c>
      <c r="C312" s="4" t="n"/>
      <c r="D312" s="4" t="n"/>
      <c r="E312" s="5" t="n"/>
      <c r="F312" s="5" t="n"/>
      <c r="G312" s="6">
        <f>IF($A312="","",$K$3+SUM($E$2:$E312)-SUM($F$2:$F312))</f>
        <v/>
      </c>
      <c r="H312" s="4" t="n"/>
    </row>
    <row r="313">
      <c r="A313" s="10" t="n"/>
      <c r="B313" s="11">
        <f>IF($A313="","",TEXT($A313,"mmmm yyyy"))</f>
        <v/>
      </c>
      <c r="C313" s="12" t="n"/>
      <c r="D313" s="12" t="n"/>
      <c r="E313" s="13" t="n"/>
      <c r="F313" s="13" t="n"/>
      <c r="G313" s="14">
        <f>IF($A313="","",$K$3+SUM($E$2:$E313)-SUM($F$2:$F313))</f>
        <v/>
      </c>
      <c r="H313" s="12" t="n"/>
    </row>
    <row r="314">
      <c r="A314" s="2" t="n"/>
      <c r="B314" s="3">
        <f>IF($A314="","",TEXT($A314,"mmmm yyyy"))</f>
        <v/>
      </c>
      <c r="C314" s="4" t="n"/>
      <c r="D314" s="4" t="n"/>
      <c r="E314" s="5" t="n"/>
      <c r="F314" s="5" t="n"/>
      <c r="G314" s="6">
        <f>IF($A314="","",$K$3+SUM($E$2:$E314)-SUM($F$2:$F314))</f>
        <v/>
      </c>
      <c r="H314" s="4" t="n"/>
    </row>
    <row r="315">
      <c r="A315" s="10" t="n"/>
      <c r="B315" s="11">
        <f>IF($A315="","",TEXT($A315,"mmmm yyyy"))</f>
        <v/>
      </c>
      <c r="C315" s="12" t="n"/>
      <c r="D315" s="12" t="n"/>
      <c r="E315" s="13" t="n"/>
      <c r="F315" s="13" t="n"/>
      <c r="G315" s="14">
        <f>IF($A315="","",$K$3+SUM($E$2:$E315)-SUM($F$2:$F315))</f>
        <v/>
      </c>
      <c r="H315" s="12" t="n"/>
    </row>
    <row r="316">
      <c r="A316" s="2" t="n"/>
      <c r="B316" s="3">
        <f>IF($A316="","",TEXT($A316,"mmmm yyyy"))</f>
        <v/>
      </c>
      <c r="C316" s="4" t="n"/>
      <c r="D316" s="4" t="n"/>
      <c r="E316" s="5" t="n"/>
      <c r="F316" s="5" t="n"/>
      <c r="G316" s="6">
        <f>IF($A316="","",$K$3+SUM($E$2:$E316)-SUM($F$2:$F316))</f>
        <v/>
      </c>
      <c r="H316" s="4" t="n"/>
    </row>
    <row r="317">
      <c r="A317" s="10" t="n"/>
      <c r="B317" s="11">
        <f>IF($A317="","",TEXT($A317,"mmmm yyyy"))</f>
        <v/>
      </c>
      <c r="C317" s="12" t="n"/>
      <c r="D317" s="12" t="n"/>
      <c r="E317" s="13" t="n"/>
      <c r="F317" s="13" t="n"/>
      <c r="G317" s="14">
        <f>IF($A317="","",$K$3+SUM($E$2:$E317)-SUM($F$2:$F317))</f>
        <v/>
      </c>
      <c r="H317" s="12" t="n"/>
    </row>
    <row r="318">
      <c r="A318" s="2" t="n"/>
      <c r="B318" s="3">
        <f>IF($A318="","",TEXT($A318,"mmmm yyyy"))</f>
        <v/>
      </c>
      <c r="C318" s="4" t="n"/>
      <c r="D318" s="4" t="n"/>
      <c r="E318" s="5" t="n"/>
      <c r="F318" s="5" t="n"/>
      <c r="G318" s="6">
        <f>IF($A318="","",$K$3+SUM($E$2:$E318)-SUM($F$2:$F318))</f>
        <v/>
      </c>
      <c r="H318" s="4" t="n"/>
    </row>
    <row r="319">
      <c r="A319" s="10" t="n"/>
      <c r="B319" s="11">
        <f>IF($A319="","",TEXT($A319,"mmmm yyyy"))</f>
        <v/>
      </c>
      <c r="C319" s="12" t="n"/>
      <c r="D319" s="12" t="n"/>
      <c r="E319" s="13" t="n"/>
      <c r="F319" s="13" t="n"/>
      <c r="G319" s="14">
        <f>IF($A319="","",$K$3+SUM($E$2:$E319)-SUM($F$2:$F319))</f>
        <v/>
      </c>
      <c r="H319" s="12" t="n"/>
    </row>
    <row r="320">
      <c r="A320" s="2" t="n"/>
      <c r="B320" s="3">
        <f>IF($A320="","",TEXT($A320,"mmmm yyyy"))</f>
        <v/>
      </c>
      <c r="C320" s="4" t="n"/>
      <c r="D320" s="4" t="n"/>
      <c r="E320" s="5" t="n"/>
      <c r="F320" s="5" t="n"/>
      <c r="G320" s="6">
        <f>IF($A320="","",$K$3+SUM($E$2:$E320)-SUM($F$2:$F320))</f>
        <v/>
      </c>
      <c r="H320" s="4" t="n"/>
    </row>
    <row r="321">
      <c r="A321" s="10" t="n"/>
      <c r="B321" s="11">
        <f>IF($A321="","",TEXT($A321,"mmmm yyyy"))</f>
        <v/>
      </c>
      <c r="C321" s="12" t="n"/>
      <c r="D321" s="12" t="n"/>
      <c r="E321" s="13" t="n"/>
      <c r="F321" s="13" t="n"/>
      <c r="G321" s="14">
        <f>IF($A321="","",$K$3+SUM($E$2:$E321)-SUM($F$2:$F321))</f>
        <v/>
      </c>
      <c r="H321" s="12" t="n"/>
    </row>
    <row r="322">
      <c r="A322" s="2" t="n"/>
      <c r="B322" s="3">
        <f>IF($A322="","",TEXT($A322,"mmmm yyyy"))</f>
        <v/>
      </c>
      <c r="C322" s="4" t="n"/>
      <c r="D322" s="4" t="n"/>
      <c r="E322" s="5" t="n"/>
      <c r="F322" s="5" t="n"/>
      <c r="G322" s="6">
        <f>IF($A322="","",$K$3+SUM($E$2:$E322)-SUM($F$2:$F322))</f>
        <v/>
      </c>
      <c r="H322" s="4" t="n"/>
    </row>
    <row r="323">
      <c r="A323" s="10" t="n"/>
      <c r="B323" s="11">
        <f>IF($A323="","",TEXT($A323,"mmmm yyyy"))</f>
        <v/>
      </c>
      <c r="C323" s="12" t="n"/>
      <c r="D323" s="12" t="n"/>
      <c r="E323" s="13" t="n"/>
      <c r="F323" s="13" t="n"/>
      <c r="G323" s="14">
        <f>IF($A323="","",$K$3+SUM($E$2:$E323)-SUM($F$2:$F323))</f>
        <v/>
      </c>
      <c r="H323" s="12" t="n"/>
    </row>
    <row r="324">
      <c r="A324" s="2" t="n"/>
      <c r="B324" s="3">
        <f>IF($A324="","",TEXT($A324,"mmmm yyyy"))</f>
        <v/>
      </c>
      <c r="C324" s="4" t="n"/>
      <c r="D324" s="4" t="n"/>
      <c r="E324" s="5" t="n"/>
      <c r="F324" s="5" t="n"/>
      <c r="G324" s="6">
        <f>IF($A324="","",$K$3+SUM($E$2:$E324)-SUM($F$2:$F324))</f>
        <v/>
      </c>
      <c r="H324" s="4" t="n"/>
    </row>
    <row r="325">
      <c r="A325" s="10" t="n"/>
      <c r="B325" s="11">
        <f>IF($A325="","",TEXT($A325,"mmmm yyyy"))</f>
        <v/>
      </c>
      <c r="C325" s="12" t="n"/>
      <c r="D325" s="12" t="n"/>
      <c r="E325" s="13" t="n"/>
      <c r="F325" s="13" t="n"/>
      <c r="G325" s="14">
        <f>IF($A325="","",$K$3+SUM($E$2:$E325)-SUM($F$2:$F325))</f>
        <v/>
      </c>
      <c r="H325" s="12" t="n"/>
    </row>
    <row r="326">
      <c r="A326" s="2" t="n"/>
      <c r="B326" s="3">
        <f>IF($A326="","",TEXT($A326,"mmmm yyyy"))</f>
        <v/>
      </c>
      <c r="C326" s="4" t="n"/>
      <c r="D326" s="4" t="n"/>
      <c r="E326" s="5" t="n"/>
      <c r="F326" s="5" t="n"/>
      <c r="G326" s="6">
        <f>IF($A326="","",$K$3+SUM($E$2:$E326)-SUM($F$2:$F326))</f>
        <v/>
      </c>
      <c r="H326" s="4" t="n"/>
    </row>
    <row r="327">
      <c r="A327" s="10" t="n"/>
      <c r="B327" s="11">
        <f>IF($A327="","",TEXT($A327,"mmmm yyyy"))</f>
        <v/>
      </c>
      <c r="C327" s="12" t="n"/>
      <c r="D327" s="12" t="n"/>
      <c r="E327" s="13" t="n"/>
      <c r="F327" s="13" t="n"/>
      <c r="G327" s="14">
        <f>IF($A327="","",$K$3+SUM($E$2:$E327)-SUM($F$2:$F327))</f>
        <v/>
      </c>
      <c r="H327" s="12" t="n"/>
    </row>
    <row r="328">
      <c r="A328" s="2" t="n"/>
      <c r="B328" s="3">
        <f>IF($A328="","",TEXT($A328,"mmmm yyyy"))</f>
        <v/>
      </c>
      <c r="C328" s="4" t="n"/>
      <c r="D328" s="4" t="n"/>
      <c r="E328" s="5" t="n"/>
      <c r="F328" s="5" t="n"/>
      <c r="G328" s="6">
        <f>IF($A328="","",$K$3+SUM($E$2:$E328)-SUM($F$2:$F328))</f>
        <v/>
      </c>
      <c r="H328" s="4" t="n"/>
    </row>
    <row r="329">
      <c r="A329" s="10" t="n"/>
      <c r="B329" s="11">
        <f>IF($A329="","",TEXT($A329,"mmmm yyyy"))</f>
        <v/>
      </c>
      <c r="C329" s="12" t="n"/>
      <c r="D329" s="12" t="n"/>
      <c r="E329" s="13" t="n"/>
      <c r="F329" s="13" t="n"/>
      <c r="G329" s="14">
        <f>IF($A329="","",$K$3+SUM($E$2:$E329)-SUM($F$2:$F329))</f>
        <v/>
      </c>
      <c r="H329" s="12" t="n"/>
    </row>
    <row r="330">
      <c r="A330" s="2" t="n"/>
      <c r="B330" s="3">
        <f>IF($A330="","",TEXT($A330,"mmmm yyyy"))</f>
        <v/>
      </c>
      <c r="C330" s="4" t="n"/>
      <c r="D330" s="4" t="n"/>
      <c r="E330" s="5" t="n"/>
      <c r="F330" s="5" t="n"/>
      <c r="G330" s="6">
        <f>IF($A330="","",$K$3+SUM($E$2:$E330)-SUM($F$2:$F330))</f>
        <v/>
      </c>
      <c r="H330" s="4" t="n"/>
    </row>
    <row r="331">
      <c r="A331" s="10" t="n"/>
      <c r="B331" s="11">
        <f>IF($A331="","",TEXT($A331,"mmmm yyyy"))</f>
        <v/>
      </c>
      <c r="C331" s="12" t="n"/>
      <c r="D331" s="12" t="n"/>
      <c r="E331" s="13" t="n"/>
      <c r="F331" s="13" t="n"/>
      <c r="G331" s="14">
        <f>IF($A331="","",$K$3+SUM($E$2:$E331)-SUM($F$2:$F331))</f>
        <v/>
      </c>
      <c r="H331" s="12" t="n"/>
    </row>
    <row r="332">
      <c r="A332" s="2" t="n"/>
      <c r="B332" s="3">
        <f>IF($A332="","",TEXT($A332,"mmmm yyyy"))</f>
        <v/>
      </c>
      <c r="C332" s="4" t="n"/>
      <c r="D332" s="4" t="n"/>
      <c r="E332" s="5" t="n"/>
      <c r="F332" s="5" t="n"/>
      <c r="G332" s="6">
        <f>IF($A332="","",$K$3+SUM($E$2:$E332)-SUM($F$2:$F332))</f>
        <v/>
      </c>
      <c r="H332" s="4" t="n"/>
    </row>
    <row r="333">
      <c r="A333" s="10" t="n"/>
      <c r="B333" s="11">
        <f>IF($A333="","",TEXT($A333,"mmmm yyyy"))</f>
        <v/>
      </c>
      <c r="C333" s="12" t="n"/>
      <c r="D333" s="12" t="n"/>
      <c r="E333" s="13" t="n"/>
      <c r="F333" s="13" t="n"/>
      <c r="G333" s="14">
        <f>IF($A333="","",$K$3+SUM($E$2:$E333)-SUM($F$2:$F333))</f>
        <v/>
      </c>
      <c r="H333" s="12" t="n"/>
    </row>
    <row r="334">
      <c r="A334" s="2" t="n"/>
      <c r="B334" s="3">
        <f>IF($A334="","",TEXT($A334,"mmmm yyyy"))</f>
        <v/>
      </c>
      <c r="C334" s="4" t="n"/>
      <c r="D334" s="4" t="n"/>
      <c r="E334" s="5" t="n"/>
      <c r="F334" s="5" t="n"/>
      <c r="G334" s="6">
        <f>IF($A334="","",$K$3+SUM($E$2:$E334)-SUM($F$2:$F334))</f>
        <v/>
      </c>
      <c r="H334" s="4" t="n"/>
    </row>
    <row r="335">
      <c r="A335" s="10" t="n"/>
      <c r="B335" s="11">
        <f>IF($A335="","",TEXT($A335,"mmmm yyyy"))</f>
        <v/>
      </c>
      <c r="C335" s="12" t="n"/>
      <c r="D335" s="12" t="n"/>
      <c r="E335" s="13" t="n"/>
      <c r="F335" s="13" t="n"/>
      <c r="G335" s="14">
        <f>IF($A335="","",$K$3+SUM($E$2:$E335)-SUM($F$2:$F335))</f>
        <v/>
      </c>
      <c r="H335" s="12" t="n"/>
    </row>
    <row r="336">
      <c r="A336" s="2" t="n"/>
      <c r="B336" s="3">
        <f>IF($A336="","",TEXT($A336,"mmmm yyyy"))</f>
        <v/>
      </c>
      <c r="C336" s="4" t="n"/>
      <c r="D336" s="4" t="n"/>
      <c r="E336" s="5" t="n"/>
      <c r="F336" s="5" t="n"/>
      <c r="G336" s="6">
        <f>IF($A336="","",$K$3+SUM($E$2:$E336)-SUM($F$2:$F336))</f>
        <v/>
      </c>
      <c r="H336" s="4" t="n"/>
    </row>
    <row r="337">
      <c r="A337" s="10" t="n"/>
      <c r="B337" s="11">
        <f>IF($A337="","",TEXT($A337,"mmmm yyyy"))</f>
        <v/>
      </c>
      <c r="C337" s="12" t="n"/>
      <c r="D337" s="12" t="n"/>
      <c r="E337" s="13" t="n"/>
      <c r="F337" s="13" t="n"/>
      <c r="G337" s="14">
        <f>IF($A337="","",$K$3+SUM($E$2:$E337)-SUM($F$2:$F337))</f>
        <v/>
      </c>
      <c r="H337" s="12" t="n"/>
    </row>
    <row r="338">
      <c r="A338" s="2" t="n"/>
      <c r="B338" s="3">
        <f>IF($A338="","",TEXT($A338,"mmmm yyyy"))</f>
        <v/>
      </c>
      <c r="C338" s="4" t="n"/>
      <c r="D338" s="4" t="n"/>
      <c r="E338" s="5" t="n"/>
      <c r="F338" s="5" t="n"/>
      <c r="G338" s="6">
        <f>IF($A338="","",$K$3+SUM($E$2:$E338)-SUM($F$2:$F338))</f>
        <v/>
      </c>
      <c r="H338" s="4" t="n"/>
    </row>
    <row r="339">
      <c r="A339" s="10" t="n"/>
      <c r="B339" s="11">
        <f>IF($A339="","",TEXT($A339,"mmmm yyyy"))</f>
        <v/>
      </c>
      <c r="C339" s="12" t="n"/>
      <c r="D339" s="12" t="n"/>
      <c r="E339" s="13" t="n"/>
      <c r="F339" s="13" t="n"/>
      <c r="G339" s="14">
        <f>IF($A339="","",$K$3+SUM($E$2:$E339)-SUM($F$2:$F339))</f>
        <v/>
      </c>
      <c r="H339" s="12" t="n"/>
    </row>
    <row r="340">
      <c r="A340" s="2" t="n"/>
      <c r="B340" s="3">
        <f>IF($A340="","",TEXT($A340,"mmmm yyyy"))</f>
        <v/>
      </c>
      <c r="C340" s="4" t="n"/>
      <c r="D340" s="4" t="n"/>
      <c r="E340" s="5" t="n"/>
      <c r="F340" s="5" t="n"/>
      <c r="G340" s="6">
        <f>IF($A340="","",$K$3+SUM($E$2:$E340)-SUM($F$2:$F340))</f>
        <v/>
      </c>
      <c r="H340" s="4" t="n"/>
    </row>
    <row r="341">
      <c r="A341" s="10" t="n"/>
      <c r="B341" s="11">
        <f>IF($A341="","",TEXT($A341,"mmmm yyyy"))</f>
        <v/>
      </c>
      <c r="C341" s="12" t="n"/>
      <c r="D341" s="12" t="n"/>
      <c r="E341" s="13" t="n"/>
      <c r="F341" s="13" t="n"/>
      <c r="G341" s="14">
        <f>IF($A341="","",$K$3+SUM($E$2:$E341)-SUM($F$2:$F341))</f>
        <v/>
      </c>
      <c r="H341" s="12" t="n"/>
    </row>
    <row r="342">
      <c r="A342" s="2" t="n"/>
      <c r="B342" s="3">
        <f>IF($A342="","",TEXT($A342,"mmmm yyyy"))</f>
        <v/>
      </c>
      <c r="C342" s="4" t="n"/>
      <c r="D342" s="4" t="n"/>
      <c r="E342" s="5" t="n"/>
      <c r="F342" s="5" t="n"/>
      <c r="G342" s="6">
        <f>IF($A342="","",$K$3+SUM($E$2:$E342)-SUM($F$2:$F342))</f>
        <v/>
      </c>
      <c r="H342" s="4" t="n"/>
    </row>
    <row r="343">
      <c r="A343" s="10" t="n"/>
      <c r="B343" s="11">
        <f>IF($A343="","",TEXT($A343,"mmmm yyyy"))</f>
        <v/>
      </c>
      <c r="C343" s="12" t="n"/>
      <c r="D343" s="12" t="n"/>
      <c r="E343" s="13" t="n"/>
      <c r="F343" s="13" t="n"/>
      <c r="G343" s="14">
        <f>IF($A343="","",$K$3+SUM($E$2:$E343)-SUM($F$2:$F343))</f>
        <v/>
      </c>
      <c r="H343" s="12" t="n"/>
    </row>
    <row r="344">
      <c r="A344" s="2" t="n"/>
      <c r="B344" s="3">
        <f>IF($A344="","",TEXT($A344,"mmmm yyyy"))</f>
        <v/>
      </c>
      <c r="C344" s="4" t="n"/>
      <c r="D344" s="4" t="n"/>
      <c r="E344" s="5" t="n"/>
      <c r="F344" s="5" t="n"/>
      <c r="G344" s="6">
        <f>IF($A344="","",$K$3+SUM($E$2:$E344)-SUM($F$2:$F344))</f>
        <v/>
      </c>
      <c r="H344" s="4" t="n"/>
    </row>
    <row r="345">
      <c r="A345" s="10" t="n"/>
      <c r="B345" s="11">
        <f>IF($A345="","",TEXT($A345,"mmmm yyyy"))</f>
        <v/>
      </c>
      <c r="C345" s="12" t="n"/>
      <c r="D345" s="12" t="n"/>
      <c r="E345" s="13" t="n"/>
      <c r="F345" s="13" t="n"/>
      <c r="G345" s="14">
        <f>IF($A345="","",$K$3+SUM($E$2:$E345)-SUM($F$2:$F345))</f>
        <v/>
      </c>
      <c r="H345" s="12" t="n"/>
    </row>
    <row r="346">
      <c r="A346" s="2" t="n"/>
      <c r="B346" s="3">
        <f>IF($A346="","",TEXT($A346,"mmmm yyyy"))</f>
        <v/>
      </c>
      <c r="C346" s="4" t="n"/>
      <c r="D346" s="4" t="n"/>
      <c r="E346" s="5" t="n"/>
      <c r="F346" s="5" t="n"/>
      <c r="G346" s="6">
        <f>IF($A346="","",$K$3+SUM($E$2:$E346)-SUM($F$2:$F346))</f>
        <v/>
      </c>
      <c r="H346" s="4" t="n"/>
    </row>
    <row r="347">
      <c r="A347" s="10" t="n"/>
      <c r="B347" s="11">
        <f>IF($A347="","",TEXT($A347,"mmmm yyyy"))</f>
        <v/>
      </c>
      <c r="C347" s="12" t="n"/>
      <c r="D347" s="12" t="n"/>
      <c r="E347" s="13" t="n"/>
      <c r="F347" s="13" t="n"/>
      <c r="G347" s="14">
        <f>IF($A347="","",$K$3+SUM($E$2:$E347)-SUM($F$2:$F347))</f>
        <v/>
      </c>
      <c r="H347" s="12" t="n"/>
    </row>
    <row r="348">
      <c r="A348" s="2" t="n"/>
      <c r="B348" s="3">
        <f>IF($A348="","",TEXT($A348,"mmmm yyyy"))</f>
        <v/>
      </c>
      <c r="C348" s="4" t="n"/>
      <c r="D348" s="4" t="n"/>
      <c r="E348" s="5" t="n"/>
      <c r="F348" s="5" t="n"/>
      <c r="G348" s="6">
        <f>IF($A348="","",$K$3+SUM($E$2:$E348)-SUM($F$2:$F348))</f>
        <v/>
      </c>
      <c r="H348" s="4" t="n"/>
    </row>
    <row r="349">
      <c r="A349" s="10" t="n"/>
      <c r="B349" s="11">
        <f>IF($A349="","",TEXT($A349,"mmmm yyyy"))</f>
        <v/>
      </c>
      <c r="C349" s="12" t="n"/>
      <c r="D349" s="12" t="n"/>
      <c r="E349" s="13" t="n"/>
      <c r="F349" s="13" t="n"/>
      <c r="G349" s="14">
        <f>IF($A349="","",$K$3+SUM($E$2:$E349)-SUM($F$2:$F349))</f>
        <v/>
      </c>
      <c r="H349" s="12" t="n"/>
    </row>
    <row r="350">
      <c r="A350" s="2" t="n"/>
      <c r="B350" s="3">
        <f>IF($A350="","",TEXT($A350,"mmmm yyyy"))</f>
        <v/>
      </c>
      <c r="C350" s="4" t="n"/>
      <c r="D350" s="4" t="n"/>
      <c r="E350" s="5" t="n"/>
      <c r="F350" s="5" t="n"/>
      <c r="G350" s="6">
        <f>IF($A350="","",$K$3+SUM($E$2:$E350)-SUM($F$2:$F350))</f>
        <v/>
      </c>
      <c r="H350" s="4" t="n"/>
    </row>
    <row r="351">
      <c r="A351" s="10" t="n"/>
      <c r="B351" s="11">
        <f>IF($A351="","",TEXT($A351,"mmmm yyyy"))</f>
        <v/>
      </c>
      <c r="C351" s="12" t="n"/>
      <c r="D351" s="12" t="n"/>
      <c r="E351" s="13" t="n"/>
      <c r="F351" s="13" t="n"/>
      <c r="G351" s="14">
        <f>IF($A351="","",$K$3+SUM($E$2:$E351)-SUM($F$2:$F351))</f>
        <v/>
      </c>
      <c r="H351" s="12" t="n"/>
    </row>
    <row r="352">
      <c r="A352" s="2" t="n"/>
      <c r="B352" s="3">
        <f>IF($A352="","",TEXT($A352,"mmmm yyyy"))</f>
        <v/>
      </c>
      <c r="C352" s="4" t="n"/>
      <c r="D352" s="4" t="n"/>
      <c r="E352" s="5" t="n"/>
      <c r="F352" s="5" t="n"/>
      <c r="G352" s="6">
        <f>IF($A352="","",$K$3+SUM($E$2:$E352)-SUM($F$2:$F352))</f>
        <v/>
      </c>
      <c r="H352" s="4" t="n"/>
    </row>
    <row r="353">
      <c r="A353" s="10" t="n"/>
      <c r="B353" s="11">
        <f>IF($A353="","",TEXT($A353,"mmmm yyyy"))</f>
        <v/>
      </c>
      <c r="C353" s="12" t="n"/>
      <c r="D353" s="12" t="n"/>
      <c r="E353" s="13" t="n"/>
      <c r="F353" s="13" t="n"/>
      <c r="G353" s="14">
        <f>IF($A353="","",$K$3+SUM($E$2:$E353)-SUM($F$2:$F353))</f>
        <v/>
      </c>
      <c r="H353" s="12" t="n"/>
    </row>
    <row r="354">
      <c r="A354" s="2" t="n"/>
      <c r="B354" s="3">
        <f>IF($A354="","",TEXT($A354,"mmmm yyyy"))</f>
        <v/>
      </c>
      <c r="C354" s="4" t="n"/>
      <c r="D354" s="4" t="n"/>
      <c r="E354" s="5" t="n"/>
      <c r="F354" s="5" t="n"/>
      <c r="G354" s="6">
        <f>IF($A354="","",$K$3+SUM($E$2:$E354)-SUM($F$2:$F354))</f>
        <v/>
      </c>
      <c r="H354" s="4" t="n"/>
    </row>
    <row r="355">
      <c r="A355" s="10" t="n"/>
      <c r="B355" s="11">
        <f>IF($A355="","",TEXT($A355,"mmmm yyyy"))</f>
        <v/>
      </c>
      <c r="C355" s="12" t="n"/>
      <c r="D355" s="12" t="n"/>
      <c r="E355" s="13" t="n"/>
      <c r="F355" s="13" t="n"/>
      <c r="G355" s="14">
        <f>IF($A355="","",$K$3+SUM($E$2:$E355)-SUM($F$2:$F355))</f>
        <v/>
      </c>
      <c r="H355" s="12" t="n"/>
    </row>
    <row r="356">
      <c r="A356" s="2" t="n"/>
      <c r="B356" s="3">
        <f>IF($A356="","",TEXT($A356,"mmmm yyyy"))</f>
        <v/>
      </c>
      <c r="C356" s="4" t="n"/>
      <c r="D356" s="4" t="n"/>
      <c r="E356" s="5" t="n"/>
      <c r="F356" s="5" t="n"/>
      <c r="G356" s="6">
        <f>IF($A356="","",$K$3+SUM($E$2:$E356)-SUM($F$2:$F356))</f>
        <v/>
      </c>
      <c r="H356" s="4" t="n"/>
    </row>
    <row r="357">
      <c r="A357" s="10" t="n"/>
      <c r="B357" s="11">
        <f>IF($A357="","",TEXT($A357,"mmmm yyyy"))</f>
        <v/>
      </c>
      <c r="C357" s="12" t="n"/>
      <c r="D357" s="12" t="n"/>
      <c r="E357" s="13" t="n"/>
      <c r="F357" s="13" t="n"/>
      <c r="G357" s="14">
        <f>IF($A357="","",$K$3+SUM($E$2:$E357)-SUM($F$2:$F357))</f>
        <v/>
      </c>
      <c r="H357" s="12" t="n"/>
    </row>
    <row r="358">
      <c r="A358" s="2" t="n"/>
      <c r="B358" s="3">
        <f>IF($A358="","",TEXT($A358,"mmmm yyyy"))</f>
        <v/>
      </c>
      <c r="C358" s="4" t="n"/>
      <c r="D358" s="4" t="n"/>
      <c r="E358" s="5" t="n"/>
      <c r="F358" s="5" t="n"/>
      <c r="G358" s="6">
        <f>IF($A358="","",$K$3+SUM($E$2:$E358)-SUM($F$2:$F358))</f>
        <v/>
      </c>
      <c r="H358" s="4" t="n"/>
    </row>
    <row r="359">
      <c r="A359" s="10" t="n"/>
      <c r="B359" s="11">
        <f>IF($A359="","",TEXT($A359,"mmmm yyyy"))</f>
        <v/>
      </c>
      <c r="C359" s="12" t="n"/>
      <c r="D359" s="12" t="n"/>
      <c r="E359" s="13" t="n"/>
      <c r="F359" s="13" t="n"/>
      <c r="G359" s="14">
        <f>IF($A359="","",$K$3+SUM($E$2:$E359)-SUM($F$2:$F359))</f>
        <v/>
      </c>
      <c r="H359" s="12" t="n"/>
    </row>
    <row r="360">
      <c r="A360" s="2" t="n"/>
      <c r="B360" s="3">
        <f>IF($A360="","",TEXT($A360,"mmmm yyyy"))</f>
        <v/>
      </c>
      <c r="C360" s="4" t="n"/>
      <c r="D360" s="4" t="n"/>
      <c r="E360" s="5" t="n"/>
      <c r="F360" s="5" t="n"/>
      <c r="G360" s="6">
        <f>IF($A360="","",$K$3+SUM($E$2:$E360)-SUM($F$2:$F360))</f>
        <v/>
      </c>
      <c r="H360" s="4" t="n"/>
    </row>
    <row r="361">
      <c r="A361" s="10" t="n"/>
      <c r="B361" s="11">
        <f>IF($A361="","",TEXT($A361,"mmmm yyyy"))</f>
        <v/>
      </c>
      <c r="C361" s="12" t="n"/>
      <c r="D361" s="12" t="n"/>
      <c r="E361" s="13" t="n"/>
      <c r="F361" s="13" t="n"/>
      <c r="G361" s="14">
        <f>IF($A361="","",$K$3+SUM($E$2:$E361)-SUM($F$2:$F361))</f>
        <v/>
      </c>
      <c r="H361" s="12" t="n"/>
    </row>
    <row r="362">
      <c r="A362" s="2" t="n"/>
      <c r="B362" s="3">
        <f>IF($A362="","",TEXT($A362,"mmmm yyyy"))</f>
        <v/>
      </c>
      <c r="C362" s="4" t="n"/>
      <c r="D362" s="4" t="n"/>
      <c r="E362" s="5" t="n"/>
      <c r="F362" s="5" t="n"/>
      <c r="G362" s="6">
        <f>IF($A362="","",$K$3+SUM($E$2:$E362)-SUM($F$2:$F362))</f>
        <v/>
      </c>
      <c r="H362" s="4" t="n"/>
    </row>
    <row r="363">
      <c r="A363" s="10" t="n"/>
      <c r="B363" s="11">
        <f>IF($A363="","",TEXT($A363,"mmmm yyyy"))</f>
        <v/>
      </c>
      <c r="C363" s="12" t="n"/>
      <c r="D363" s="12" t="n"/>
      <c r="E363" s="13" t="n"/>
      <c r="F363" s="13" t="n"/>
      <c r="G363" s="14">
        <f>IF($A363="","",$K$3+SUM($E$2:$E363)-SUM($F$2:$F363))</f>
        <v/>
      </c>
      <c r="H363" s="12" t="n"/>
    </row>
    <row r="364">
      <c r="A364" s="2" t="n"/>
      <c r="B364" s="3">
        <f>IF($A364="","",TEXT($A364,"mmmm yyyy"))</f>
        <v/>
      </c>
      <c r="C364" s="4" t="n"/>
      <c r="D364" s="4" t="n"/>
      <c r="E364" s="5" t="n"/>
      <c r="F364" s="5" t="n"/>
      <c r="G364" s="6">
        <f>IF($A364="","",$K$3+SUM($E$2:$E364)-SUM($F$2:$F364))</f>
        <v/>
      </c>
      <c r="H364" s="4" t="n"/>
    </row>
    <row r="365">
      <c r="A365" s="10" t="n"/>
      <c r="B365" s="11">
        <f>IF($A365="","",TEXT($A365,"mmmm yyyy"))</f>
        <v/>
      </c>
      <c r="C365" s="12" t="n"/>
      <c r="D365" s="12" t="n"/>
      <c r="E365" s="13" t="n"/>
      <c r="F365" s="13" t="n"/>
      <c r="G365" s="14">
        <f>IF($A365="","",$K$3+SUM($E$2:$E365)-SUM($F$2:$F365))</f>
        <v/>
      </c>
      <c r="H365" s="12" t="n"/>
    </row>
    <row r="366">
      <c r="A366" s="2" t="n"/>
      <c r="B366" s="3">
        <f>IF($A366="","",TEXT($A366,"mmmm yyyy"))</f>
        <v/>
      </c>
      <c r="C366" s="4" t="n"/>
      <c r="D366" s="4" t="n"/>
      <c r="E366" s="5" t="n"/>
      <c r="F366" s="5" t="n"/>
      <c r="G366" s="6">
        <f>IF($A366="","",$K$3+SUM($E$2:$E366)-SUM($F$2:$F366))</f>
        <v/>
      </c>
      <c r="H366" s="4" t="n"/>
    </row>
    <row r="367">
      <c r="A367" s="10" t="n"/>
      <c r="B367" s="11">
        <f>IF($A367="","",TEXT($A367,"mmmm yyyy"))</f>
        <v/>
      </c>
      <c r="C367" s="12" t="n"/>
      <c r="D367" s="12" t="n"/>
      <c r="E367" s="13" t="n"/>
      <c r="F367" s="13" t="n"/>
      <c r="G367" s="14">
        <f>IF($A367="","",$K$3+SUM($E$2:$E367)-SUM($F$2:$F367))</f>
        <v/>
      </c>
      <c r="H367" s="12" t="n"/>
    </row>
    <row r="368">
      <c r="A368" s="2" t="n"/>
      <c r="B368" s="3">
        <f>IF($A368="","",TEXT($A368,"mmmm yyyy"))</f>
        <v/>
      </c>
      <c r="C368" s="4" t="n"/>
      <c r="D368" s="4" t="n"/>
      <c r="E368" s="5" t="n"/>
      <c r="F368" s="5" t="n"/>
      <c r="G368" s="6">
        <f>IF($A368="","",$K$3+SUM($E$2:$E368)-SUM($F$2:$F368))</f>
        <v/>
      </c>
      <c r="H368" s="4" t="n"/>
    </row>
    <row r="369">
      <c r="A369" s="10" t="n"/>
      <c r="B369" s="11">
        <f>IF($A369="","",TEXT($A369,"mmmm yyyy"))</f>
        <v/>
      </c>
      <c r="C369" s="12" t="n"/>
      <c r="D369" s="12" t="n"/>
      <c r="E369" s="13" t="n"/>
      <c r="F369" s="13" t="n"/>
      <c r="G369" s="14">
        <f>IF($A369="","",$K$3+SUM($E$2:$E369)-SUM($F$2:$F369))</f>
        <v/>
      </c>
      <c r="H369" s="12" t="n"/>
    </row>
    <row r="370">
      <c r="A370" s="2" t="n"/>
      <c r="B370" s="3">
        <f>IF($A370="","",TEXT($A370,"mmmm yyyy"))</f>
        <v/>
      </c>
      <c r="C370" s="4" t="n"/>
      <c r="D370" s="4" t="n"/>
      <c r="E370" s="5" t="n"/>
      <c r="F370" s="5" t="n"/>
      <c r="G370" s="6">
        <f>IF($A370="","",$K$3+SUM($E$2:$E370)-SUM($F$2:$F370))</f>
        <v/>
      </c>
      <c r="H370" s="4" t="n"/>
    </row>
    <row r="371">
      <c r="A371" s="10" t="n"/>
      <c r="B371" s="11">
        <f>IF($A371="","",TEXT($A371,"mmmm yyyy"))</f>
        <v/>
      </c>
      <c r="C371" s="12" t="n"/>
      <c r="D371" s="12" t="n"/>
      <c r="E371" s="13" t="n"/>
      <c r="F371" s="13" t="n"/>
      <c r="G371" s="14">
        <f>IF($A371="","",$K$3+SUM($E$2:$E371)-SUM($F$2:$F371))</f>
        <v/>
      </c>
      <c r="H371" s="12" t="n"/>
    </row>
    <row r="372">
      <c r="A372" s="2" t="n"/>
      <c r="B372" s="3">
        <f>IF($A372="","",TEXT($A372,"mmmm yyyy"))</f>
        <v/>
      </c>
      <c r="C372" s="4" t="n"/>
      <c r="D372" s="4" t="n"/>
      <c r="E372" s="5" t="n"/>
      <c r="F372" s="5" t="n"/>
      <c r="G372" s="6">
        <f>IF($A372="","",$K$3+SUM($E$2:$E372)-SUM($F$2:$F372))</f>
        <v/>
      </c>
      <c r="H372" s="4" t="n"/>
    </row>
    <row r="373">
      <c r="A373" s="10" t="n"/>
      <c r="B373" s="11">
        <f>IF($A373="","",TEXT($A373,"mmmm yyyy"))</f>
        <v/>
      </c>
      <c r="C373" s="12" t="n"/>
      <c r="D373" s="12" t="n"/>
      <c r="E373" s="13" t="n"/>
      <c r="F373" s="13" t="n"/>
      <c r="G373" s="14">
        <f>IF($A373="","",$K$3+SUM($E$2:$E373)-SUM($F$2:$F373))</f>
        <v/>
      </c>
      <c r="H373" s="12" t="n"/>
    </row>
    <row r="374">
      <c r="A374" s="2" t="n"/>
      <c r="B374" s="3">
        <f>IF($A374="","",TEXT($A374,"mmmm yyyy"))</f>
        <v/>
      </c>
      <c r="C374" s="4" t="n"/>
      <c r="D374" s="4" t="n"/>
      <c r="E374" s="5" t="n"/>
      <c r="F374" s="5" t="n"/>
      <c r="G374" s="6">
        <f>IF($A374="","",$K$3+SUM($E$2:$E374)-SUM($F$2:$F374))</f>
        <v/>
      </c>
      <c r="H374" s="4" t="n"/>
    </row>
    <row r="375">
      <c r="A375" s="10" t="n"/>
      <c r="B375" s="11">
        <f>IF($A375="","",TEXT($A375,"mmmm yyyy"))</f>
        <v/>
      </c>
      <c r="C375" s="12" t="n"/>
      <c r="D375" s="12" t="n"/>
      <c r="E375" s="13" t="n"/>
      <c r="F375" s="13" t="n"/>
      <c r="G375" s="14">
        <f>IF($A375="","",$K$3+SUM($E$2:$E375)-SUM($F$2:$F375))</f>
        <v/>
      </c>
      <c r="H375" s="12" t="n"/>
    </row>
    <row r="376">
      <c r="A376" s="2" t="n"/>
      <c r="B376" s="3">
        <f>IF($A376="","",TEXT($A376,"mmmm yyyy"))</f>
        <v/>
      </c>
      <c r="C376" s="4" t="n"/>
      <c r="D376" s="4" t="n"/>
      <c r="E376" s="5" t="n"/>
      <c r="F376" s="5" t="n"/>
      <c r="G376" s="6">
        <f>IF($A376="","",$K$3+SUM($E$2:$E376)-SUM($F$2:$F376))</f>
        <v/>
      </c>
      <c r="H376" s="4" t="n"/>
    </row>
    <row r="377">
      <c r="A377" s="10" t="n"/>
      <c r="B377" s="11">
        <f>IF($A377="","",TEXT($A377,"mmmm yyyy"))</f>
        <v/>
      </c>
      <c r="C377" s="12" t="n"/>
      <c r="D377" s="12" t="n"/>
      <c r="E377" s="13" t="n"/>
      <c r="F377" s="13" t="n"/>
      <c r="G377" s="14">
        <f>IF($A377="","",$K$3+SUM($E$2:$E377)-SUM($F$2:$F377))</f>
        <v/>
      </c>
      <c r="H377" s="12" t="n"/>
    </row>
    <row r="378">
      <c r="A378" s="2" t="n"/>
      <c r="B378" s="3">
        <f>IF($A378="","",TEXT($A378,"mmmm yyyy"))</f>
        <v/>
      </c>
      <c r="C378" s="4" t="n"/>
      <c r="D378" s="4" t="n"/>
      <c r="E378" s="5" t="n"/>
      <c r="F378" s="5" t="n"/>
      <c r="G378" s="6">
        <f>IF($A378="","",$K$3+SUM($E$2:$E378)-SUM($F$2:$F378))</f>
        <v/>
      </c>
      <c r="H378" s="4" t="n"/>
    </row>
    <row r="379">
      <c r="A379" s="10" t="n"/>
      <c r="B379" s="11">
        <f>IF($A379="","",TEXT($A379,"mmmm yyyy"))</f>
        <v/>
      </c>
      <c r="C379" s="12" t="n"/>
      <c r="D379" s="12" t="n"/>
      <c r="E379" s="13" t="n"/>
      <c r="F379" s="13" t="n"/>
      <c r="G379" s="14">
        <f>IF($A379="","",$K$3+SUM($E$2:$E379)-SUM($F$2:$F379))</f>
        <v/>
      </c>
      <c r="H379" s="12" t="n"/>
    </row>
    <row r="380">
      <c r="A380" s="2" t="n"/>
      <c r="B380" s="3">
        <f>IF($A380="","",TEXT($A380,"mmmm yyyy"))</f>
        <v/>
      </c>
      <c r="C380" s="4" t="n"/>
      <c r="D380" s="4" t="n"/>
      <c r="E380" s="5" t="n"/>
      <c r="F380" s="5" t="n"/>
      <c r="G380" s="6">
        <f>IF($A380="","",$K$3+SUM($E$2:$E380)-SUM($F$2:$F380))</f>
        <v/>
      </c>
      <c r="H380" s="4" t="n"/>
    </row>
    <row r="381">
      <c r="A381" s="10" t="n"/>
      <c r="B381" s="11">
        <f>IF($A381="","",TEXT($A381,"mmmm yyyy"))</f>
        <v/>
      </c>
      <c r="C381" s="12" t="n"/>
      <c r="D381" s="12" t="n"/>
      <c r="E381" s="13" t="n"/>
      <c r="F381" s="13" t="n"/>
      <c r="G381" s="14">
        <f>IF($A381="","",$K$3+SUM($E$2:$E381)-SUM($F$2:$F381))</f>
        <v/>
      </c>
      <c r="H381" s="12" t="n"/>
    </row>
    <row r="382">
      <c r="A382" s="2" t="n"/>
      <c r="B382" s="3">
        <f>IF($A382="","",TEXT($A382,"mmmm yyyy"))</f>
        <v/>
      </c>
      <c r="C382" s="4" t="n"/>
      <c r="D382" s="4" t="n"/>
      <c r="E382" s="5" t="n"/>
      <c r="F382" s="5" t="n"/>
      <c r="G382" s="6">
        <f>IF($A382="","",$K$3+SUM($E$2:$E382)-SUM($F$2:$F382))</f>
        <v/>
      </c>
      <c r="H382" s="4" t="n"/>
    </row>
    <row r="383">
      <c r="A383" s="10" t="n"/>
      <c r="B383" s="11">
        <f>IF($A383="","",TEXT($A383,"mmmm yyyy"))</f>
        <v/>
      </c>
      <c r="C383" s="12" t="n"/>
      <c r="D383" s="12" t="n"/>
      <c r="E383" s="13" t="n"/>
      <c r="F383" s="13" t="n"/>
      <c r="G383" s="14">
        <f>IF($A383="","",$K$3+SUM($E$2:$E383)-SUM($F$2:$F383))</f>
        <v/>
      </c>
      <c r="H383" s="12" t="n"/>
    </row>
    <row r="384">
      <c r="A384" s="2" t="n"/>
      <c r="B384" s="3">
        <f>IF($A384="","",TEXT($A384,"mmmm yyyy"))</f>
        <v/>
      </c>
      <c r="C384" s="4" t="n"/>
      <c r="D384" s="4" t="n"/>
      <c r="E384" s="5" t="n"/>
      <c r="F384" s="5" t="n"/>
      <c r="G384" s="6">
        <f>IF($A384="","",$K$3+SUM($E$2:$E384)-SUM($F$2:$F384))</f>
        <v/>
      </c>
      <c r="H384" s="4" t="n"/>
    </row>
    <row r="385">
      <c r="A385" s="10" t="n"/>
      <c r="B385" s="11">
        <f>IF($A385="","",TEXT($A385,"mmmm yyyy"))</f>
        <v/>
      </c>
      <c r="C385" s="12" t="n"/>
      <c r="D385" s="12" t="n"/>
      <c r="E385" s="13" t="n"/>
      <c r="F385" s="13" t="n"/>
      <c r="G385" s="14">
        <f>IF($A385="","",$K$3+SUM($E$2:$E385)-SUM($F$2:$F385))</f>
        <v/>
      </c>
      <c r="H385" s="12" t="n"/>
    </row>
    <row r="386">
      <c r="A386" s="2" t="n"/>
      <c r="B386" s="3">
        <f>IF($A386="","",TEXT($A386,"mmmm yyyy"))</f>
        <v/>
      </c>
      <c r="C386" s="4" t="n"/>
      <c r="D386" s="4" t="n"/>
      <c r="E386" s="5" t="n"/>
      <c r="F386" s="5" t="n"/>
      <c r="G386" s="6">
        <f>IF($A386="","",$K$3+SUM($E$2:$E386)-SUM($F$2:$F386))</f>
        <v/>
      </c>
      <c r="H386" s="4" t="n"/>
    </row>
    <row r="387">
      <c r="A387" s="10" t="n"/>
      <c r="B387" s="11">
        <f>IF($A387="","",TEXT($A387,"mmmm yyyy"))</f>
        <v/>
      </c>
      <c r="C387" s="12" t="n"/>
      <c r="D387" s="12" t="n"/>
      <c r="E387" s="13" t="n"/>
      <c r="F387" s="13" t="n"/>
      <c r="G387" s="14">
        <f>IF($A387="","",$K$3+SUM($E$2:$E387)-SUM($F$2:$F387))</f>
        <v/>
      </c>
      <c r="H387" s="12" t="n"/>
    </row>
    <row r="388">
      <c r="A388" s="2" t="n"/>
      <c r="B388" s="3">
        <f>IF($A388="","",TEXT($A388,"mmmm yyyy"))</f>
        <v/>
      </c>
      <c r="C388" s="4" t="n"/>
      <c r="D388" s="4" t="n"/>
      <c r="E388" s="5" t="n"/>
      <c r="F388" s="5" t="n"/>
      <c r="G388" s="6">
        <f>IF($A388="","",$K$3+SUM($E$2:$E388)-SUM($F$2:$F388))</f>
        <v/>
      </c>
      <c r="H388" s="4" t="n"/>
    </row>
    <row r="389">
      <c r="A389" s="10" t="n"/>
      <c r="B389" s="11">
        <f>IF($A389="","",TEXT($A389,"mmmm yyyy"))</f>
        <v/>
      </c>
      <c r="C389" s="12" t="n"/>
      <c r="D389" s="12" t="n"/>
      <c r="E389" s="13" t="n"/>
      <c r="F389" s="13" t="n"/>
      <c r="G389" s="14">
        <f>IF($A389="","",$K$3+SUM($E$2:$E389)-SUM($F$2:$F389))</f>
        <v/>
      </c>
      <c r="H389" s="12" t="n"/>
    </row>
    <row r="390">
      <c r="A390" s="2" t="n"/>
      <c r="B390" s="3">
        <f>IF($A390="","",TEXT($A390,"mmmm yyyy"))</f>
        <v/>
      </c>
      <c r="C390" s="4" t="n"/>
      <c r="D390" s="4" t="n"/>
      <c r="E390" s="5" t="n"/>
      <c r="F390" s="5" t="n"/>
      <c r="G390" s="6">
        <f>IF($A390="","",$K$3+SUM($E$2:$E390)-SUM($F$2:$F390))</f>
        <v/>
      </c>
      <c r="H390" s="4" t="n"/>
    </row>
    <row r="391">
      <c r="A391" s="10" t="n"/>
      <c r="B391" s="11">
        <f>IF($A391="","",TEXT($A391,"mmmm yyyy"))</f>
        <v/>
      </c>
      <c r="C391" s="12" t="n"/>
      <c r="D391" s="12" t="n"/>
      <c r="E391" s="13" t="n"/>
      <c r="F391" s="13" t="n"/>
      <c r="G391" s="14">
        <f>IF($A391="","",$K$3+SUM($E$2:$E391)-SUM($F$2:$F391))</f>
        <v/>
      </c>
      <c r="H391" s="12" t="n"/>
    </row>
    <row r="392">
      <c r="A392" s="2" t="n"/>
      <c r="B392" s="3">
        <f>IF($A392="","",TEXT($A392,"mmmm yyyy"))</f>
        <v/>
      </c>
      <c r="C392" s="4" t="n"/>
      <c r="D392" s="4" t="n"/>
      <c r="E392" s="5" t="n"/>
      <c r="F392" s="5" t="n"/>
      <c r="G392" s="6">
        <f>IF($A392="","",$K$3+SUM($E$2:$E392)-SUM($F$2:$F392))</f>
        <v/>
      </c>
      <c r="H392" s="4" t="n"/>
    </row>
    <row r="393">
      <c r="A393" s="10" t="n"/>
      <c r="B393" s="11">
        <f>IF($A393="","",TEXT($A393,"mmmm yyyy"))</f>
        <v/>
      </c>
      <c r="C393" s="12" t="n"/>
      <c r="D393" s="12" t="n"/>
      <c r="E393" s="13" t="n"/>
      <c r="F393" s="13" t="n"/>
      <c r="G393" s="14">
        <f>IF($A393="","",$K$3+SUM($E$2:$E393)-SUM($F$2:$F393))</f>
        <v/>
      </c>
      <c r="H393" s="12" t="n"/>
    </row>
    <row r="394">
      <c r="A394" s="2" t="n"/>
      <c r="B394" s="3">
        <f>IF($A394="","",TEXT($A394,"mmmm yyyy"))</f>
        <v/>
      </c>
      <c r="C394" s="4" t="n"/>
      <c r="D394" s="4" t="n"/>
      <c r="E394" s="5" t="n"/>
      <c r="F394" s="5" t="n"/>
      <c r="G394" s="6">
        <f>IF($A394="","",$K$3+SUM($E$2:$E394)-SUM($F$2:$F394))</f>
        <v/>
      </c>
      <c r="H394" s="4" t="n"/>
    </row>
    <row r="395">
      <c r="A395" s="10" t="n"/>
      <c r="B395" s="11">
        <f>IF($A395="","",TEXT($A395,"mmmm yyyy"))</f>
        <v/>
      </c>
      <c r="C395" s="12" t="n"/>
      <c r="D395" s="12" t="n"/>
      <c r="E395" s="13" t="n"/>
      <c r="F395" s="13" t="n"/>
      <c r="G395" s="14">
        <f>IF($A395="","",$K$3+SUM($E$2:$E395)-SUM($F$2:$F395))</f>
        <v/>
      </c>
      <c r="H395" s="12" t="n"/>
    </row>
    <row r="396">
      <c r="A396" s="2" t="n"/>
      <c r="B396" s="3">
        <f>IF($A396="","",TEXT($A396,"mmmm yyyy"))</f>
        <v/>
      </c>
      <c r="C396" s="4" t="n"/>
      <c r="D396" s="4" t="n"/>
      <c r="E396" s="5" t="n"/>
      <c r="F396" s="5" t="n"/>
      <c r="G396" s="6">
        <f>IF($A396="","",$K$3+SUM($E$2:$E396)-SUM($F$2:$F396))</f>
        <v/>
      </c>
      <c r="H396" s="4" t="n"/>
    </row>
    <row r="397">
      <c r="A397" s="10" t="n"/>
      <c r="B397" s="11">
        <f>IF($A397="","",TEXT($A397,"mmmm yyyy"))</f>
        <v/>
      </c>
      <c r="C397" s="12" t="n"/>
      <c r="D397" s="12" t="n"/>
      <c r="E397" s="13" t="n"/>
      <c r="F397" s="13" t="n"/>
      <c r="G397" s="14">
        <f>IF($A397="","",$K$3+SUM($E$2:$E397)-SUM($F$2:$F397))</f>
        <v/>
      </c>
      <c r="H397" s="12" t="n"/>
    </row>
    <row r="398">
      <c r="A398" s="2" t="n"/>
      <c r="B398" s="3">
        <f>IF($A398="","",TEXT($A398,"mmmm yyyy"))</f>
        <v/>
      </c>
      <c r="C398" s="4" t="n"/>
      <c r="D398" s="4" t="n"/>
      <c r="E398" s="5" t="n"/>
      <c r="F398" s="5" t="n"/>
      <c r="G398" s="6">
        <f>IF($A398="","",$K$3+SUM($E$2:$E398)-SUM($F$2:$F398))</f>
        <v/>
      </c>
      <c r="H398" s="4" t="n"/>
    </row>
    <row r="399">
      <c r="A399" s="10" t="n"/>
      <c r="B399" s="11">
        <f>IF($A399="","",TEXT($A399,"mmmm yyyy"))</f>
        <v/>
      </c>
      <c r="C399" s="12" t="n"/>
      <c r="D399" s="12" t="n"/>
      <c r="E399" s="13" t="n"/>
      <c r="F399" s="13" t="n"/>
      <c r="G399" s="14">
        <f>IF($A399="","",$K$3+SUM($E$2:$E399)-SUM($F$2:$F399))</f>
        <v/>
      </c>
      <c r="H399" s="12" t="n"/>
    </row>
    <row r="400">
      <c r="A400" s="2" t="n"/>
      <c r="B400" s="3">
        <f>IF($A400="","",TEXT($A400,"mmmm yyyy"))</f>
        <v/>
      </c>
      <c r="C400" s="4" t="n"/>
      <c r="D400" s="4" t="n"/>
      <c r="E400" s="5" t="n"/>
      <c r="F400" s="5" t="n"/>
      <c r="G400" s="6">
        <f>IF($A400="","",$K$3+SUM($E$2:$E400)-SUM($F$2:$F400))</f>
        <v/>
      </c>
      <c r="H400" s="4" t="n"/>
    </row>
    <row r="401">
      <c r="A401" s="10" t="n"/>
      <c r="B401" s="11">
        <f>IF($A401="","",TEXT($A401,"mmmm yyyy"))</f>
        <v/>
      </c>
      <c r="C401" s="12" t="n"/>
      <c r="D401" s="12" t="n"/>
      <c r="E401" s="13" t="n"/>
      <c r="F401" s="13" t="n"/>
      <c r="G401" s="14">
        <f>IF($A401="","",$K$3+SUM($E$2:$E401)-SUM($F$2:$F401))</f>
        <v/>
      </c>
      <c r="H401" s="12" t="n"/>
    </row>
    <row r="402">
      <c r="A402" s="2" t="n"/>
      <c r="B402" s="3">
        <f>IF($A402="","",TEXT($A402,"mmmm yyyy"))</f>
        <v/>
      </c>
      <c r="C402" s="4" t="n"/>
      <c r="D402" s="4" t="n"/>
      <c r="E402" s="5" t="n"/>
      <c r="F402" s="5" t="n"/>
      <c r="G402" s="6">
        <f>IF($A402="","",$K$3+SUM($E$2:$E402)-SUM($F$2:$F402))</f>
        <v/>
      </c>
      <c r="H402" s="4" t="n"/>
    </row>
    <row r="403">
      <c r="A403" s="10" t="n"/>
      <c r="B403" s="11">
        <f>IF($A403="","",TEXT($A403,"mmmm yyyy"))</f>
        <v/>
      </c>
      <c r="C403" s="12" t="n"/>
      <c r="D403" s="12" t="n"/>
      <c r="E403" s="13" t="n"/>
      <c r="F403" s="13" t="n"/>
      <c r="G403" s="14">
        <f>IF($A403="","",$K$3+SUM($E$2:$E403)-SUM($F$2:$F403))</f>
        <v/>
      </c>
      <c r="H403" s="12" t="n"/>
    </row>
    <row r="404">
      <c r="A404" s="2" t="n"/>
      <c r="B404" s="3">
        <f>IF($A404="","",TEXT($A404,"mmmm yyyy"))</f>
        <v/>
      </c>
      <c r="C404" s="4" t="n"/>
      <c r="D404" s="4" t="n"/>
      <c r="E404" s="5" t="n"/>
      <c r="F404" s="5" t="n"/>
      <c r="G404" s="6">
        <f>IF($A404="","",$K$3+SUM($E$2:$E404)-SUM($F$2:$F404))</f>
        <v/>
      </c>
      <c r="H404" s="4" t="n"/>
    </row>
    <row r="405">
      <c r="A405" s="10" t="n"/>
      <c r="B405" s="11">
        <f>IF($A405="","",TEXT($A405,"mmmm yyyy"))</f>
        <v/>
      </c>
      <c r="C405" s="12" t="n"/>
      <c r="D405" s="12" t="n"/>
      <c r="E405" s="13" t="n"/>
      <c r="F405" s="13" t="n"/>
      <c r="G405" s="14">
        <f>IF($A405="","",$K$3+SUM($E$2:$E405)-SUM($F$2:$F405))</f>
        <v/>
      </c>
      <c r="H405" s="12" t="n"/>
    </row>
    <row r="406">
      <c r="A406" s="2" t="n"/>
      <c r="B406" s="3">
        <f>IF($A406="","",TEXT($A406,"mmmm yyyy"))</f>
        <v/>
      </c>
      <c r="C406" s="4" t="n"/>
      <c r="D406" s="4" t="n"/>
      <c r="E406" s="5" t="n"/>
      <c r="F406" s="5" t="n"/>
      <c r="G406" s="6">
        <f>IF($A406="","",$K$3+SUM($E$2:$E406)-SUM($F$2:$F406))</f>
        <v/>
      </c>
      <c r="H406" s="4" t="n"/>
    </row>
    <row r="407">
      <c r="A407" s="10" t="n"/>
      <c r="B407" s="11">
        <f>IF($A407="","",TEXT($A407,"mmmm yyyy"))</f>
        <v/>
      </c>
      <c r="C407" s="12" t="n"/>
      <c r="D407" s="12" t="n"/>
      <c r="E407" s="13" t="n"/>
      <c r="F407" s="13" t="n"/>
      <c r="G407" s="14">
        <f>IF($A407="","",$K$3+SUM($E$2:$E407)-SUM($F$2:$F407))</f>
        <v/>
      </c>
      <c r="H407" s="12" t="n"/>
    </row>
    <row r="408">
      <c r="A408" s="2" t="n"/>
      <c r="B408" s="3">
        <f>IF($A408="","",TEXT($A408,"mmmm yyyy"))</f>
        <v/>
      </c>
      <c r="C408" s="4" t="n"/>
      <c r="D408" s="4" t="n"/>
      <c r="E408" s="5" t="n"/>
      <c r="F408" s="5" t="n"/>
      <c r="G408" s="6">
        <f>IF($A408="","",$K$3+SUM($E$2:$E408)-SUM($F$2:$F408))</f>
        <v/>
      </c>
      <c r="H408" s="4" t="n"/>
    </row>
    <row r="409">
      <c r="A409" s="10" t="n"/>
      <c r="B409" s="11">
        <f>IF($A409="","",TEXT($A409,"mmmm yyyy"))</f>
        <v/>
      </c>
      <c r="C409" s="12" t="n"/>
      <c r="D409" s="12" t="n"/>
      <c r="E409" s="13" t="n"/>
      <c r="F409" s="13" t="n"/>
      <c r="G409" s="14">
        <f>IF($A409="","",$K$3+SUM($E$2:$E409)-SUM($F$2:$F409))</f>
        <v/>
      </c>
      <c r="H409" s="12" t="n"/>
    </row>
    <row r="410">
      <c r="A410" s="2" t="n"/>
      <c r="B410" s="3">
        <f>IF($A410="","",TEXT($A410,"mmmm yyyy"))</f>
        <v/>
      </c>
      <c r="C410" s="4" t="n"/>
      <c r="D410" s="4" t="n"/>
      <c r="E410" s="5" t="n"/>
      <c r="F410" s="5" t="n"/>
      <c r="G410" s="6">
        <f>IF($A410="","",$K$3+SUM($E$2:$E410)-SUM($F$2:$F410))</f>
        <v/>
      </c>
      <c r="H410" s="4" t="n"/>
    </row>
    <row r="411">
      <c r="A411" s="10" t="n"/>
      <c r="B411" s="11">
        <f>IF($A411="","",TEXT($A411,"mmmm yyyy"))</f>
        <v/>
      </c>
      <c r="C411" s="12" t="n"/>
      <c r="D411" s="12" t="n"/>
      <c r="E411" s="13" t="n"/>
      <c r="F411" s="13" t="n"/>
      <c r="G411" s="14">
        <f>IF($A411="","",$K$3+SUM($E$2:$E411)-SUM($F$2:$F411))</f>
        <v/>
      </c>
      <c r="H411" s="12" t="n"/>
    </row>
    <row r="412">
      <c r="A412" s="2" t="n"/>
      <c r="B412" s="3">
        <f>IF($A412="","",TEXT($A412,"mmmm yyyy"))</f>
        <v/>
      </c>
      <c r="C412" s="4" t="n"/>
      <c r="D412" s="4" t="n"/>
      <c r="E412" s="5" t="n"/>
      <c r="F412" s="5" t="n"/>
      <c r="G412" s="6">
        <f>IF($A412="","",$K$3+SUM($E$2:$E412)-SUM($F$2:$F412))</f>
        <v/>
      </c>
      <c r="H412" s="4" t="n"/>
    </row>
    <row r="413">
      <c r="A413" s="10" t="n"/>
      <c r="B413" s="11">
        <f>IF($A413="","",TEXT($A413,"mmmm yyyy"))</f>
        <v/>
      </c>
      <c r="C413" s="12" t="n"/>
      <c r="D413" s="12" t="n"/>
      <c r="E413" s="13" t="n"/>
      <c r="F413" s="13" t="n"/>
      <c r="G413" s="14">
        <f>IF($A413="","",$K$3+SUM($E$2:$E413)-SUM($F$2:$F413))</f>
        <v/>
      </c>
      <c r="H413" s="12" t="n"/>
    </row>
    <row r="414">
      <c r="A414" s="2" t="n"/>
      <c r="B414" s="3">
        <f>IF($A414="","",TEXT($A414,"mmmm yyyy"))</f>
        <v/>
      </c>
      <c r="C414" s="4" t="n"/>
      <c r="D414" s="4" t="n"/>
      <c r="E414" s="5" t="n"/>
      <c r="F414" s="5" t="n"/>
      <c r="G414" s="6">
        <f>IF($A414="","",$K$3+SUM($E$2:$E414)-SUM($F$2:$F414))</f>
        <v/>
      </c>
      <c r="H414" s="4" t="n"/>
    </row>
    <row r="415">
      <c r="A415" s="10" t="n"/>
      <c r="B415" s="11">
        <f>IF($A415="","",TEXT($A415,"mmmm yyyy"))</f>
        <v/>
      </c>
      <c r="C415" s="12" t="n"/>
      <c r="D415" s="12" t="n"/>
      <c r="E415" s="13" t="n"/>
      <c r="F415" s="13" t="n"/>
      <c r="G415" s="14">
        <f>IF($A415="","",$K$3+SUM($E$2:$E415)-SUM($F$2:$F415))</f>
        <v/>
      </c>
      <c r="H415" s="12" t="n"/>
    </row>
    <row r="416">
      <c r="A416" s="2" t="n"/>
      <c r="B416" s="3">
        <f>IF($A416="","",TEXT($A416,"mmmm yyyy"))</f>
        <v/>
      </c>
      <c r="C416" s="4" t="n"/>
      <c r="D416" s="4" t="n"/>
      <c r="E416" s="5" t="n"/>
      <c r="F416" s="5" t="n"/>
      <c r="G416" s="6">
        <f>IF($A416="","",$K$3+SUM($E$2:$E416)-SUM($F$2:$F416))</f>
        <v/>
      </c>
      <c r="H416" s="4" t="n"/>
    </row>
    <row r="417">
      <c r="A417" s="10" t="n"/>
      <c r="B417" s="11">
        <f>IF($A417="","",TEXT($A417,"mmmm yyyy"))</f>
        <v/>
      </c>
      <c r="C417" s="12" t="n"/>
      <c r="D417" s="12" t="n"/>
      <c r="E417" s="13" t="n"/>
      <c r="F417" s="13" t="n"/>
      <c r="G417" s="14">
        <f>IF($A417="","",$K$3+SUM($E$2:$E417)-SUM($F$2:$F417))</f>
        <v/>
      </c>
      <c r="H417" s="12" t="n"/>
    </row>
    <row r="418">
      <c r="A418" s="2" t="n"/>
      <c r="B418" s="3">
        <f>IF($A418="","",TEXT($A418,"mmmm yyyy"))</f>
        <v/>
      </c>
      <c r="C418" s="4" t="n"/>
      <c r="D418" s="4" t="n"/>
      <c r="E418" s="5" t="n"/>
      <c r="F418" s="5" t="n"/>
      <c r="G418" s="6">
        <f>IF($A418="","",$K$3+SUM($E$2:$E418)-SUM($F$2:$F418))</f>
        <v/>
      </c>
      <c r="H418" s="4" t="n"/>
    </row>
    <row r="419">
      <c r="A419" s="10" t="n"/>
      <c r="B419" s="11">
        <f>IF($A419="","",TEXT($A419,"mmmm yyyy"))</f>
        <v/>
      </c>
      <c r="C419" s="12" t="n"/>
      <c r="D419" s="12" t="n"/>
      <c r="E419" s="13" t="n"/>
      <c r="F419" s="13" t="n"/>
      <c r="G419" s="14">
        <f>IF($A419="","",$K$3+SUM($E$2:$E419)-SUM($F$2:$F419))</f>
        <v/>
      </c>
      <c r="H419" s="12" t="n"/>
    </row>
    <row r="420">
      <c r="A420" s="2" t="n"/>
      <c r="B420" s="3">
        <f>IF($A420="","",TEXT($A420,"mmmm yyyy"))</f>
        <v/>
      </c>
      <c r="C420" s="4" t="n"/>
      <c r="D420" s="4" t="n"/>
      <c r="E420" s="5" t="n"/>
      <c r="F420" s="5" t="n"/>
      <c r="G420" s="6">
        <f>IF($A420="","",$K$3+SUM($E$2:$E420)-SUM($F$2:$F420))</f>
        <v/>
      </c>
      <c r="H420" s="4" t="n"/>
    </row>
    <row r="421">
      <c r="A421" s="10" t="n"/>
      <c r="B421" s="11">
        <f>IF($A421="","",TEXT($A421,"mmmm yyyy"))</f>
        <v/>
      </c>
      <c r="C421" s="12" t="n"/>
      <c r="D421" s="12" t="n"/>
      <c r="E421" s="13" t="n"/>
      <c r="F421" s="13" t="n"/>
      <c r="G421" s="14">
        <f>IF($A421="","",$K$3+SUM($E$2:$E421)-SUM($F$2:$F421))</f>
        <v/>
      </c>
      <c r="H421" s="12" t="n"/>
    </row>
    <row r="422">
      <c r="A422" s="2" t="n"/>
      <c r="B422" s="3">
        <f>IF($A422="","",TEXT($A422,"mmmm yyyy"))</f>
        <v/>
      </c>
      <c r="C422" s="4" t="n"/>
      <c r="D422" s="4" t="n"/>
      <c r="E422" s="5" t="n"/>
      <c r="F422" s="5" t="n"/>
      <c r="G422" s="6">
        <f>IF($A422="","",$K$3+SUM($E$2:$E422)-SUM($F$2:$F422))</f>
        <v/>
      </c>
      <c r="H422" s="4" t="n"/>
    </row>
    <row r="423">
      <c r="A423" s="10" t="n"/>
      <c r="B423" s="11">
        <f>IF($A423="","",TEXT($A423,"mmmm yyyy"))</f>
        <v/>
      </c>
      <c r="C423" s="12" t="n"/>
      <c r="D423" s="12" t="n"/>
      <c r="E423" s="13" t="n"/>
      <c r="F423" s="13" t="n"/>
      <c r="G423" s="14">
        <f>IF($A423="","",$K$3+SUM($E$2:$E423)-SUM($F$2:$F423))</f>
        <v/>
      </c>
      <c r="H423" s="12" t="n"/>
    </row>
    <row r="424">
      <c r="A424" s="2" t="n"/>
      <c r="B424" s="3">
        <f>IF($A424="","",TEXT($A424,"mmmm yyyy"))</f>
        <v/>
      </c>
      <c r="C424" s="4" t="n"/>
      <c r="D424" s="4" t="n"/>
      <c r="E424" s="5" t="n"/>
      <c r="F424" s="5" t="n"/>
      <c r="G424" s="6">
        <f>IF($A424="","",$K$3+SUM($E$2:$E424)-SUM($F$2:$F424))</f>
        <v/>
      </c>
      <c r="H424" s="4" t="n"/>
    </row>
    <row r="425">
      <c r="A425" s="10" t="n"/>
      <c r="B425" s="11">
        <f>IF($A425="","",TEXT($A425,"mmmm yyyy"))</f>
        <v/>
      </c>
      <c r="C425" s="12" t="n"/>
      <c r="D425" s="12" t="n"/>
      <c r="E425" s="13" t="n"/>
      <c r="F425" s="13" t="n"/>
      <c r="G425" s="14">
        <f>IF($A425="","",$K$3+SUM($E$2:$E425)-SUM($F$2:$F425))</f>
        <v/>
      </c>
      <c r="H425" s="12" t="n"/>
    </row>
    <row r="426">
      <c r="A426" s="2" t="n"/>
      <c r="B426" s="3">
        <f>IF($A426="","",TEXT($A426,"mmmm yyyy"))</f>
        <v/>
      </c>
      <c r="C426" s="4" t="n"/>
      <c r="D426" s="4" t="n"/>
      <c r="E426" s="5" t="n"/>
      <c r="F426" s="5" t="n"/>
      <c r="G426" s="6">
        <f>IF($A426="","",$K$3+SUM($E$2:$E426)-SUM($F$2:$F426))</f>
        <v/>
      </c>
      <c r="H426" s="4" t="n"/>
    </row>
    <row r="427">
      <c r="A427" s="10" t="n"/>
      <c r="B427" s="11">
        <f>IF($A427="","",TEXT($A427,"mmmm yyyy"))</f>
        <v/>
      </c>
      <c r="C427" s="12" t="n"/>
      <c r="D427" s="12" t="n"/>
      <c r="E427" s="13" t="n"/>
      <c r="F427" s="13" t="n"/>
      <c r="G427" s="14">
        <f>IF($A427="","",$K$3+SUM($E$2:$E427)-SUM($F$2:$F427))</f>
        <v/>
      </c>
      <c r="H427" s="12" t="n"/>
    </row>
    <row r="428">
      <c r="A428" s="2" t="n"/>
      <c r="B428" s="3">
        <f>IF($A428="","",TEXT($A428,"mmmm yyyy"))</f>
        <v/>
      </c>
      <c r="C428" s="4" t="n"/>
      <c r="D428" s="4" t="n"/>
      <c r="E428" s="5" t="n"/>
      <c r="F428" s="5" t="n"/>
      <c r="G428" s="6">
        <f>IF($A428="","",$K$3+SUM($E$2:$E428)-SUM($F$2:$F428))</f>
        <v/>
      </c>
      <c r="H428" s="4" t="n"/>
    </row>
    <row r="429">
      <c r="A429" s="10" t="n"/>
      <c r="B429" s="11">
        <f>IF($A429="","",TEXT($A429,"mmmm yyyy"))</f>
        <v/>
      </c>
      <c r="C429" s="12" t="n"/>
      <c r="D429" s="12" t="n"/>
      <c r="E429" s="13" t="n"/>
      <c r="F429" s="13" t="n"/>
      <c r="G429" s="14">
        <f>IF($A429="","",$K$3+SUM($E$2:$E429)-SUM($F$2:$F429))</f>
        <v/>
      </c>
      <c r="H429" s="12" t="n"/>
    </row>
    <row r="430">
      <c r="A430" s="2" t="n"/>
      <c r="B430" s="3">
        <f>IF($A430="","",TEXT($A430,"mmmm yyyy"))</f>
        <v/>
      </c>
      <c r="C430" s="4" t="n"/>
      <c r="D430" s="4" t="n"/>
      <c r="E430" s="5" t="n"/>
      <c r="F430" s="5" t="n"/>
      <c r="G430" s="6">
        <f>IF($A430="","",$K$3+SUM($E$2:$E430)-SUM($F$2:$F430))</f>
        <v/>
      </c>
      <c r="H430" s="4" t="n"/>
    </row>
    <row r="431">
      <c r="A431" s="10" t="n"/>
      <c r="B431" s="11">
        <f>IF($A431="","",TEXT($A431,"mmmm yyyy"))</f>
        <v/>
      </c>
      <c r="C431" s="12" t="n"/>
      <c r="D431" s="12" t="n"/>
      <c r="E431" s="13" t="n"/>
      <c r="F431" s="13" t="n"/>
      <c r="G431" s="14">
        <f>IF($A431="","",$K$3+SUM($E$2:$E431)-SUM($F$2:$F431))</f>
        <v/>
      </c>
      <c r="H431" s="12" t="n"/>
    </row>
    <row r="432">
      <c r="A432" s="2" t="n"/>
      <c r="B432" s="3">
        <f>IF($A432="","",TEXT($A432,"mmmm yyyy"))</f>
        <v/>
      </c>
      <c r="C432" s="4" t="n"/>
      <c r="D432" s="4" t="n"/>
      <c r="E432" s="5" t="n"/>
      <c r="F432" s="5" t="n"/>
      <c r="G432" s="6">
        <f>IF($A432="","",$K$3+SUM($E$2:$E432)-SUM($F$2:$F432))</f>
        <v/>
      </c>
      <c r="H432" s="4" t="n"/>
    </row>
    <row r="433">
      <c r="A433" s="10" t="n"/>
      <c r="B433" s="11">
        <f>IF($A433="","",TEXT($A433,"mmmm yyyy"))</f>
        <v/>
      </c>
      <c r="C433" s="12" t="n"/>
      <c r="D433" s="12" t="n"/>
      <c r="E433" s="13" t="n"/>
      <c r="F433" s="13" t="n"/>
      <c r="G433" s="14">
        <f>IF($A433="","",$K$3+SUM($E$2:$E433)-SUM($F$2:$F433))</f>
        <v/>
      </c>
      <c r="H433" s="12" t="n"/>
    </row>
    <row r="434">
      <c r="A434" s="2" t="n"/>
      <c r="B434" s="3">
        <f>IF($A434="","",TEXT($A434,"mmmm yyyy"))</f>
        <v/>
      </c>
      <c r="C434" s="4" t="n"/>
      <c r="D434" s="4" t="n"/>
      <c r="E434" s="5" t="n"/>
      <c r="F434" s="5" t="n"/>
      <c r="G434" s="6">
        <f>IF($A434="","",$K$3+SUM($E$2:$E434)-SUM($F$2:$F434))</f>
        <v/>
      </c>
      <c r="H434" s="4" t="n"/>
    </row>
    <row r="435">
      <c r="A435" s="10" t="n"/>
      <c r="B435" s="11">
        <f>IF($A435="","",TEXT($A435,"mmmm yyyy"))</f>
        <v/>
      </c>
      <c r="C435" s="12" t="n"/>
      <c r="D435" s="12" t="n"/>
      <c r="E435" s="13" t="n"/>
      <c r="F435" s="13" t="n"/>
      <c r="G435" s="14">
        <f>IF($A435="","",$K$3+SUM($E$2:$E435)-SUM($F$2:$F435))</f>
        <v/>
      </c>
      <c r="H435" s="12" t="n"/>
    </row>
    <row r="436">
      <c r="A436" s="2" t="n"/>
      <c r="B436" s="3">
        <f>IF($A436="","",TEXT($A436,"mmmm yyyy"))</f>
        <v/>
      </c>
      <c r="C436" s="4" t="n"/>
      <c r="D436" s="4" t="n"/>
      <c r="E436" s="5" t="n"/>
      <c r="F436" s="5" t="n"/>
      <c r="G436" s="6">
        <f>IF($A436="","",$K$3+SUM($E$2:$E436)-SUM($F$2:$F436))</f>
        <v/>
      </c>
      <c r="H436" s="4" t="n"/>
    </row>
    <row r="437">
      <c r="A437" s="10" t="n"/>
      <c r="B437" s="11">
        <f>IF($A437="","",TEXT($A437,"mmmm yyyy"))</f>
        <v/>
      </c>
      <c r="C437" s="12" t="n"/>
      <c r="D437" s="12" t="n"/>
      <c r="E437" s="13" t="n"/>
      <c r="F437" s="13" t="n"/>
      <c r="G437" s="14">
        <f>IF($A437="","",$K$3+SUM($E$2:$E437)-SUM($F$2:$F437))</f>
        <v/>
      </c>
      <c r="H437" s="12" t="n"/>
    </row>
    <row r="438">
      <c r="A438" s="2" t="n"/>
      <c r="B438" s="3">
        <f>IF($A438="","",TEXT($A438,"mmmm yyyy"))</f>
        <v/>
      </c>
      <c r="C438" s="4" t="n"/>
      <c r="D438" s="4" t="n"/>
      <c r="E438" s="5" t="n"/>
      <c r="F438" s="5" t="n"/>
      <c r="G438" s="6">
        <f>IF($A438="","",$K$3+SUM($E$2:$E438)-SUM($F$2:$F438))</f>
        <v/>
      </c>
      <c r="H438" s="4" t="n"/>
    </row>
    <row r="439">
      <c r="A439" s="10" t="n"/>
      <c r="B439" s="11">
        <f>IF($A439="","",TEXT($A439,"mmmm yyyy"))</f>
        <v/>
      </c>
      <c r="C439" s="12" t="n"/>
      <c r="D439" s="12" t="n"/>
      <c r="E439" s="13" t="n"/>
      <c r="F439" s="13" t="n"/>
      <c r="G439" s="14">
        <f>IF($A439="","",$K$3+SUM($E$2:$E439)-SUM($F$2:$F439))</f>
        <v/>
      </c>
      <c r="H439" s="12" t="n"/>
    </row>
    <row r="440">
      <c r="A440" s="2" t="n"/>
      <c r="B440" s="3">
        <f>IF($A440="","",TEXT($A440,"mmmm yyyy"))</f>
        <v/>
      </c>
      <c r="C440" s="4" t="n"/>
      <c r="D440" s="4" t="n"/>
      <c r="E440" s="5" t="n"/>
      <c r="F440" s="5" t="n"/>
      <c r="G440" s="6">
        <f>IF($A440="","",$K$3+SUM($E$2:$E440)-SUM($F$2:$F440))</f>
        <v/>
      </c>
      <c r="H440" s="4" t="n"/>
    </row>
    <row r="441">
      <c r="A441" s="10" t="n"/>
      <c r="B441" s="11">
        <f>IF($A441="","",TEXT($A441,"mmmm yyyy"))</f>
        <v/>
      </c>
      <c r="C441" s="12" t="n"/>
      <c r="D441" s="12" t="n"/>
      <c r="E441" s="13" t="n"/>
      <c r="F441" s="13" t="n"/>
      <c r="G441" s="14">
        <f>IF($A441="","",$K$3+SUM($E$2:$E441)-SUM($F$2:$F441))</f>
        <v/>
      </c>
      <c r="H441" s="12" t="n"/>
    </row>
    <row r="442">
      <c r="A442" s="2" t="n"/>
      <c r="B442" s="3">
        <f>IF($A442="","",TEXT($A442,"mmmm yyyy"))</f>
        <v/>
      </c>
      <c r="C442" s="4" t="n"/>
      <c r="D442" s="4" t="n"/>
      <c r="E442" s="5" t="n"/>
      <c r="F442" s="5" t="n"/>
      <c r="G442" s="6">
        <f>IF($A442="","",$K$3+SUM($E$2:$E442)-SUM($F$2:$F442))</f>
        <v/>
      </c>
      <c r="H442" s="4" t="n"/>
    </row>
    <row r="443">
      <c r="A443" s="10" t="n"/>
      <c r="B443" s="11">
        <f>IF($A443="","",TEXT($A443,"mmmm yyyy"))</f>
        <v/>
      </c>
      <c r="C443" s="12" t="n"/>
      <c r="D443" s="12" t="n"/>
      <c r="E443" s="13" t="n"/>
      <c r="F443" s="13" t="n"/>
      <c r="G443" s="14">
        <f>IF($A443="","",$K$3+SUM($E$2:$E443)-SUM($F$2:$F443))</f>
        <v/>
      </c>
      <c r="H443" s="12" t="n"/>
    </row>
    <row r="444">
      <c r="A444" s="2" t="n"/>
      <c r="B444" s="3">
        <f>IF($A444="","",TEXT($A444,"mmmm yyyy"))</f>
        <v/>
      </c>
      <c r="C444" s="4" t="n"/>
      <c r="D444" s="4" t="n"/>
      <c r="E444" s="5" t="n"/>
      <c r="F444" s="5" t="n"/>
      <c r="G444" s="6">
        <f>IF($A444="","",$K$3+SUM($E$2:$E444)-SUM($F$2:$F444))</f>
        <v/>
      </c>
      <c r="H444" s="4" t="n"/>
    </row>
    <row r="445">
      <c r="A445" s="10" t="n"/>
      <c r="B445" s="11">
        <f>IF($A445="","",TEXT($A445,"mmmm yyyy"))</f>
        <v/>
      </c>
      <c r="C445" s="12" t="n"/>
      <c r="D445" s="12" t="n"/>
      <c r="E445" s="13" t="n"/>
      <c r="F445" s="13" t="n"/>
      <c r="G445" s="14">
        <f>IF($A445="","",$K$3+SUM($E$2:$E445)-SUM($F$2:$F445))</f>
        <v/>
      </c>
      <c r="H445" s="12" t="n"/>
    </row>
    <row r="446">
      <c r="A446" s="2" t="n"/>
      <c r="B446" s="3">
        <f>IF($A446="","",TEXT($A446,"mmmm yyyy"))</f>
        <v/>
      </c>
      <c r="C446" s="4" t="n"/>
      <c r="D446" s="4" t="n"/>
      <c r="E446" s="5" t="n"/>
      <c r="F446" s="5" t="n"/>
      <c r="G446" s="6">
        <f>IF($A446="","",$K$3+SUM($E$2:$E446)-SUM($F$2:$F446))</f>
        <v/>
      </c>
      <c r="H446" s="4" t="n"/>
    </row>
    <row r="447">
      <c r="A447" s="10" t="n"/>
      <c r="B447" s="11">
        <f>IF($A447="","",TEXT($A447,"mmmm yyyy"))</f>
        <v/>
      </c>
      <c r="C447" s="12" t="n"/>
      <c r="D447" s="12" t="n"/>
      <c r="E447" s="13" t="n"/>
      <c r="F447" s="13" t="n"/>
      <c r="G447" s="14">
        <f>IF($A447="","",$K$3+SUM($E$2:$E447)-SUM($F$2:$F447))</f>
        <v/>
      </c>
      <c r="H447" s="12" t="n"/>
    </row>
    <row r="448">
      <c r="A448" s="2" t="n"/>
      <c r="B448" s="3">
        <f>IF($A448="","",TEXT($A448,"mmmm yyyy"))</f>
        <v/>
      </c>
      <c r="C448" s="4" t="n"/>
      <c r="D448" s="4" t="n"/>
      <c r="E448" s="5" t="n"/>
      <c r="F448" s="5" t="n"/>
      <c r="G448" s="6">
        <f>IF($A448="","",$K$3+SUM($E$2:$E448)-SUM($F$2:$F448))</f>
        <v/>
      </c>
      <c r="H448" s="4" t="n"/>
    </row>
    <row r="449">
      <c r="A449" s="10" t="n"/>
      <c r="B449" s="11">
        <f>IF($A449="","",TEXT($A449,"mmmm yyyy"))</f>
        <v/>
      </c>
      <c r="C449" s="12" t="n"/>
      <c r="D449" s="12" t="n"/>
      <c r="E449" s="13" t="n"/>
      <c r="F449" s="13" t="n"/>
      <c r="G449" s="14">
        <f>IF($A449="","",$K$3+SUM($E$2:$E449)-SUM($F$2:$F449))</f>
        <v/>
      </c>
      <c r="H449" s="12" t="n"/>
    </row>
    <row r="450">
      <c r="A450" s="2" t="n"/>
      <c r="B450" s="3">
        <f>IF($A450="","",TEXT($A450,"mmmm yyyy"))</f>
        <v/>
      </c>
      <c r="C450" s="4" t="n"/>
      <c r="D450" s="4" t="n"/>
      <c r="E450" s="5" t="n"/>
      <c r="F450" s="5" t="n"/>
      <c r="G450" s="6">
        <f>IF($A450="","",$K$3+SUM($E$2:$E450)-SUM($F$2:$F450))</f>
        <v/>
      </c>
      <c r="H450" s="4" t="n"/>
    </row>
    <row r="451">
      <c r="A451" s="10" t="n"/>
      <c r="B451" s="11">
        <f>IF($A451="","",TEXT($A451,"mmmm yyyy"))</f>
        <v/>
      </c>
      <c r="C451" s="12" t="n"/>
      <c r="D451" s="12" t="n"/>
      <c r="E451" s="13" t="n"/>
      <c r="F451" s="13" t="n"/>
      <c r="G451" s="14">
        <f>IF($A451="","",$K$3+SUM($E$2:$E451)-SUM($F$2:$F451))</f>
        <v/>
      </c>
      <c r="H451" s="12" t="n"/>
    </row>
    <row r="452">
      <c r="A452" s="2" t="n"/>
      <c r="B452" s="3">
        <f>IF($A452="","",TEXT($A452,"mmmm yyyy"))</f>
        <v/>
      </c>
      <c r="C452" s="4" t="n"/>
      <c r="D452" s="4" t="n"/>
      <c r="E452" s="5" t="n"/>
      <c r="F452" s="5" t="n"/>
      <c r="G452" s="6">
        <f>IF($A452="","",$K$3+SUM($E$2:$E452)-SUM($F$2:$F452))</f>
        <v/>
      </c>
      <c r="H452" s="4" t="n"/>
    </row>
    <row r="453">
      <c r="A453" s="10" t="n"/>
      <c r="B453" s="11">
        <f>IF($A453="","",TEXT($A453,"mmmm yyyy"))</f>
        <v/>
      </c>
      <c r="C453" s="12" t="n"/>
      <c r="D453" s="12" t="n"/>
      <c r="E453" s="13" t="n"/>
      <c r="F453" s="13" t="n"/>
      <c r="G453" s="14">
        <f>IF($A453="","",$K$3+SUM($E$2:$E453)-SUM($F$2:$F453))</f>
        <v/>
      </c>
      <c r="H453" s="12" t="n"/>
    </row>
    <row r="454">
      <c r="A454" s="2" t="n"/>
      <c r="B454" s="3">
        <f>IF($A454="","",TEXT($A454,"mmmm yyyy"))</f>
        <v/>
      </c>
      <c r="C454" s="4" t="n"/>
      <c r="D454" s="4" t="n"/>
      <c r="E454" s="5" t="n"/>
      <c r="F454" s="5" t="n"/>
      <c r="G454" s="6">
        <f>IF($A454="","",$K$3+SUM($E$2:$E454)-SUM($F$2:$F454))</f>
        <v/>
      </c>
      <c r="H454" s="4" t="n"/>
    </row>
    <row r="455">
      <c r="A455" s="10" t="n"/>
      <c r="B455" s="11">
        <f>IF($A455="","",TEXT($A455,"mmmm yyyy"))</f>
        <v/>
      </c>
      <c r="C455" s="12" t="n"/>
      <c r="D455" s="12" t="n"/>
      <c r="E455" s="13" t="n"/>
      <c r="F455" s="13" t="n"/>
      <c r="G455" s="14">
        <f>IF($A455="","",$K$3+SUM($E$2:$E455)-SUM($F$2:$F455))</f>
        <v/>
      </c>
      <c r="H455" s="12" t="n"/>
    </row>
    <row r="456">
      <c r="A456" s="2" t="n"/>
      <c r="B456" s="3">
        <f>IF($A456="","",TEXT($A456,"mmmm yyyy"))</f>
        <v/>
      </c>
      <c r="C456" s="4" t="n"/>
      <c r="D456" s="4" t="n"/>
      <c r="E456" s="5" t="n"/>
      <c r="F456" s="5" t="n"/>
      <c r="G456" s="6">
        <f>IF($A456="","",$K$3+SUM($E$2:$E456)-SUM($F$2:$F456))</f>
        <v/>
      </c>
      <c r="H456" s="4" t="n"/>
    </row>
    <row r="457">
      <c r="A457" s="10" t="n"/>
      <c r="B457" s="11">
        <f>IF($A457="","",TEXT($A457,"mmmm yyyy"))</f>
        <v/>
      </c>
      <c r="C457" s="12" t="n"/>
      <c r="D457" s="12" t="n"/>
      <c r="E457" s="13" t="n"/>
      <c r="F457" s="13" t="n"/>
      <c r="G457" s="14">
        <f>IF($A457="","",$K$3+SUM($E$2:$E457)-SUM($F$2:$F457))</f>
        <v/>
      </c>
      <c r="H457" s="12" t="n"/>
    </row>
    <row r="458">
      <c r="A458" s="2" t="n"/>
      <c r="B458" s="3">
        <f>IF($A458="","",TEXT($A458,"mmmm yyyy"))</f>
        <v/>
      </c>
      <c r="C458" s="4" t="n"/>
      <c r="D458" s="4" t="n"/>
      <c r="E458" s="5" t="n"/>
      <c r="F458" s="5" t="n"/>
      <c r="G458" s="6">
        <f>IF($A458="","",$K$3+SUM($E$2:$E458)-SUM($F$2:$F458))</f>
        <v/>
      </c>
      <c r="H458" s="4" t="n"/>
    </row>
    <row r="459">
      <c r="A459" s="10" t="n"/>
      <c r="B459" s="11">
        <f>IF($A459="","",TEXT($A459,"mmmm yyyy"))</f>
        <v/>
      </c>
      <c r="C459" s="12" t="n"/>
      <c r="D459" s="12" t="n"/>
      <c r="E459" s="13" t="n"/>
      <c r="F459" s="13" t="n"/>
      <c r="G459" s="14">
        <f>IF($A459="","",$K$3+SUM($E$2:$E459)-SUM($F$2:$F459))</f>
        <v/>
      </c>
      <c r="H459" s="12" t="n"/>
    </row>
    <row r="460">
      <c r="A460" s="2" t="n"/>
      <c r="B460" s="3">
        <f>IF($A460="","",TEXT($A460,"mmmm yyyy"))</f>
        <v/>
      </c>
      <c r="C460" s="4" t="n"/>
      <c r="D460" s="4" t="n"/>
      <c r="E460" s="5" t="n"/>
      <c r="F460" s="5" t="n"/>
      <c r="G460" s="6">
        <f>IF($A460="","",$K$3+SUM($E$2:$E460)-SUM($F$2:$F460))</f>
        <v/>
      </c>
      <c r="H460" s="4" t="n"/>
    </row>
    <row r="461">
      <c r="A461" s="10" t="n"/>
      <c r="B461" s="11">
        <f>IF($A461="","",TEXT($A461,"mmmm yyyy"))</f>
        <v/>
      </c>
      <c r="C461" s="12" t="n"/>
      <c r="D461" s="12" t="n"/>
      <c r="E461" s="13" t="n"/>
      <c r="F461" s="13" t="n"/>
      <c r="G461" s="14">
        <f>IF($A461="","",$K$3+SUM($E$2:$E461)-SUM($F$2:$F461))</f>
        <v/>
      </c>
      <c r="H461" s="12" t="n"/>
    </row>
    <row r="462">
      <c r="A462" s="2" t="n"/>
      <c r="B462" s="3">
        <f>IF($A462="","",TEXT($A462,"mmmm yyyy"))</f>
        <v/>
      </c>
      <c r="C462" s="4" t="n"/>
      <c r="D462" s="4" t="n"/>
      <c r="E462" s="5" t="n"/>
      <c r="F462" s="5" t="n"/>
      <c r="G462" s="6">
        <f>IF($A462="","",$K$3+SUM($E$2:$E462)-SUM($F$2:$F462))</f>
        <v/>
      </c>
      <c r="H462" s="4" t="n"/>
    </row>
    <row r="463">
      <c r="A463" s="10" t="n"/>
      <c r="B463" s="11">
        <f>IF($A463="","",TEXT($A463,"mmmm yyyy"))</f>
        <v/>
      </c>
      <c r="C463" s="12" t="n"/>
      <c r="D463" s="12" t="n"/>
      <c r="E463" s="13" t="n"/>
      <c r="F463" s="13" t="n"/>
      <c r="G463" s="14">
        <f>IF($A463="","",$K$3+SUM($E$2:$E463)-SUM($F$2:$F463))</f>
        <v/>
      </c>
      <c r="H463" s="12" t="n"/>
    </row>
    <row r="464">
      <c r="A464" s="2" t="n"/>
      <c r="B464" s="3">
        <f>IF($A464="","",TEXT($A464,"mmmm yyyy"))</f>
        <v/>
      </c>
      <c r="C464" s="4" t="n"/>
      <c r="D464" s="4" t="n"/>
      <c r="E464" s="5" t="n"/>
      <c r="F464" s="5" t="n"/>
      <c r="G464" s="6">
        <f>IF($A464="","",$K$3+SUM($E$2:$E464)-SUM($F$2:$F464))</f>
        <v/>
      </c>
      <c r="H464" s="4" t="n"/>
    </row>
    <row r="465">
      <c r="A465" s="10" t="n"/>
      <c r="B465" s="11">
        <f>IF($A465="","",TEXT($A465,"mmmm yyyy"))</f>
        <v/>
      </c>
      <c r="C465" s="12" t="n"/>
      <c r="D465" s="12" t="n"/>
      <c r="E465" s="13" t="n"/>
      <c r="F465" s="13" t="n"/>
      <c r="G465" s="14">
        <f>IF($A465="","",$K$3+SUM($E$2:$E465)-SUM($F$2:$F465))</f>
        <v/>
      </c>
      <c r="H465" s="12" t="n"/>
    </row>
    <row r="466">
      <c r="A466" s="2" t="n"/>
      <c r="B466" s="3">
        <f>IF($A466="","",TEXT($A466,"mmmm yyyy"))</f>
        <v/>
      </c>
      <c r="C466" s="4" t="n"/>
      <c r="D466" s="4" t="n"/>
      <c r="E466" s="5" t="n"/>
      <c r="F466" s="5" t="n"/>
      <c r="G466" s="6">
        <f>IF($A466="","",$K$3+SUM($E$2:$E466)-SUM($F$2:$F466))</f>
        <v/>
      </c>
      <c r="H466" s="4" t="n"/>
    </row>
    <row r="467">
      <c r="A467" s="10" t="n"/>
      <c r="B467" s="11">
        <f>IF($A467="","",TEXT($A467,"mmmm yyyy"))</f>
        <v/>
      </c>
      <c r="C467" s="12" t="n"/>
      <c r="D467" s="12" t="n"/>
      <c r="E467" s="13" t="n"/>
      <c r="F467" s="13" t="n"/>
      <c r="G467" s="14">
        <f>IF($A467="","",$K$3+SUM($E$2:$E467)-SUM($F$2:$F467))</f>
        <v/>
      </c>
      <c r="H467" s="12" t="n"/>
    </row>
    <row r="468">
      <c r="A468" s="2" t="n"/>
      <c r="B468" s="3">
        <f>IF($A468="","",TEXT($A468,"mmmm yyyy"))</f>
        <v/>
      </c>
      <c r="C468" s="4" t="n"/>
      <c r="D468" s="4" t="n"/>
      <c r="E468" s="5" t="n"/>
      <c r="F468" s="5" t="n"/>
      <c r="G468" s="6">
        <f>IF($A468="","",$K$3+SUM($E$2:$E468)-SUM($F$2:$F468))</f>
        <v/>
      </c>
      <c r="H468" s="4" t="n"/>
    </row>
    <row r="469">
      <c r="A469" s="10" t="n"/>
      <c r="B469" s="11">
        <f>IF($A469="","",TEXT($A469,"mmmm yyyy"))</f>
        <v/>
      </c>
      <c r="C469" s="12" t="n"/>
      <c r="D469" s="12" t="n"/>
      <c r="E469" s="13" t="n"/>
      <c r="F469" s="13" t="n"/>
      <c r="G469" s="14">
        <f>IF($A469="","",$K$3+SUM($E$2:$E469)-SUM($F$2:$F469))</f>
        <v/>
      </c>
      <c r="H469" s="12" t="n"/>
    </row>
    <row r="470">
      <c r="A470" s="2" t="n"/>
      <c r="B470" s="3">
        <f>IF($A470="","",TEXT($A470,"mmmm yyyy"))</f>
        <v/>
      </c>
      <c r="C470" s="4" t="n"/>
      <c r="D470" s="4" t="n"/>
      <c r="E470" s="5" t="n"/>
      <c r="F470" s="5" t="n"/>
      <c r="G470" s="6">
        <f>IF($A470="","",$K$3+SUM($E$2:$E470)-SUM($F$2:$F470))</f>
        <v/>
      </c>
      <c r="H470" s="4" t="n"/>
    </row>
    <row r="471">
      <c r="A471" s="10" t="n"/>
      <c r="B471" s="11">
        <f>IF($A471="","",TEXT($A471,"mmmm yyyy"))</f>
        <v/>
      </c>
      <c r="C471" s="12" t="n"/>
      <c r="D471" s="12" t="n"/>
      <c r="E471" s="13" t="n"/>
      <c r="F471" s="13" t="n"/>
      <c r="G471" s="14">
        <f>IF($A471="","",$K$3+SUM($E$2:$E471)-SUM($F$2:$F471))</f>
        <v/>
      </c>
      <c r="H471" s="12" t="n"/>
    </row>
    <row r="472">
      <c r="A472" s="2" t="n"/>
      <c r="B472" s="3">
        <f>IF($A472="","",TEXT($A472,"mmmm yyyy"))</f>
        <v/>
      </c>
      <c r="C472" s="4" t="n"/>
      <c r="D472" s="4" t="n"/>
      <c r="E472" s="5" t="n"/>
      <c r="F472" s="5" t="n"/>
      <c r="G472" s="6">
        <f>IF($A472="","",$K$3+SUM($E$2:$E472)-SUM($F$2:$F472))</f>
        <v/>
      </c>
      <c r="H472" s="4" t="n"/>
    </row>
    <row r="473">
      <c r="A473" s="10" t="n"/>
      <c r="B473" s="11">
        <f>IF($A473="","",TEXT($A473,"mmmm yyyy"))</f>
        <v/>
      </c>
      <c r="C473" s="12" t="n"/>
      <c r="D473" s="12" t="n"/>
      <c r="E473" s="13" t="n"/>
      <c r="F473" s="13" t="n"/>
      <c r="G473" s="14">
        <f>IF($A473="","",$K$3+SUM($E$2:$E473)-SUM($F$2:$F473))</f>
        <v/>
      </c>
      <c r="H473" s="12" t="n"/>
    </row>
    <row r="474">
      <c r="A474" s="2" t="n"/>
      <c r="B474" s="3">
        <f>IF($A474="","",TEXT($A474,"mmmm yyyy"))</f>
        <v/>
      </c>
      <c r="C474" s="4" t="n"/>
      <c r="D474" s="4" t="n"/>
      <c r="E474" s="5" t="n"/>
      <c r="F474" s="5" t="n"/>
      <c r="G474" s="6">
        <f>IF($A474="","",$K$3+SUM($E$2:$E474)-SUM($F$2:$F474))</f>
        <v/>
      </c>
      <c r="H474" s="4" t="n"/>
    </row>
    <row r="475">
      <c r="A475" s="10" t="n"/>
      <c r="B475" s="11">
        <f>IF($A475="","",TEXT($A475,"mmmm yyyy"))</f>
        <v/>
      </c>
      <c r="C475" s="12" t="n"/>
      <c r="D475" s="12" t="n"/>
      <c r="E475" s="13" t="n"/>
      <c r="F475" s="13" t="n"/>
      <c r="G475" s="14">
        <f>IF($A475="","",$K$3+SUM($E$2:$E475)-SUM($F$2:$F475))</f>
        <v/>
      </c>
      <c r="H475" s="12" t="n"/>
    </row>
    <row r="476">
      <c r="A476" s="2" t="n"/>
      <c r="B476" s="3">
        <f>IF($A476="","",TEXT($A476,"mmmm yyyy"))</f>
        <v/>
      </c>
      <c r="C476" s="4" t="n"/>
      <c r="D476" s="4" t="n"/>
      <c r="E476" s="5" t="n"/>
      <c r="F476" s="5" t="n"/>
      <c r="G476" s="6">
        <f>IF($A476="","",$K$3+SUM($E$2:$E476)-SUM($F$2:$F476))</f>
        <v/>
      </c>
      <c r="H476" s="4" t="n"/>
    </row>
    <row r="477">
      <c r="A477" s="10" t="n"/>
      <c r="B477" s="11">
        <f>IF($A477="","",TEXT($A477,"mmmm yyyy"))</f>
        <v/>
      </c>
      <c r="C477" s="12" t="n"/>
      <c r="D477" s="12" t="n"/>
      <c r="E477" s="13" t="n"/>
      <c r="F477" s="13" t="n"/>
      <c r="G477" s="14">
        <f>IF($A477="","",$K$3+SUM($E$2:$E477)-SUM($F$2:$F477))</f>
        <v/>
      </c>
      <c r="H477" s="12" t="n"/>
    </row>
    <row r="478">
      <c r="A478" s="2" t="n"/>
      <c r="B478" s="3">
        <f>IF($A478="","",TEXT($A478,"mmmm yyyy"))</f>
        <v/>
      </c>
      <c r="C478" s="4" t="n"/>
      <c r="D478" s="4" t="n"/>
      <c r="E478" s="5" t="n"/>
      <c r="F478" s="5" t="n"/>
      <c r="G478" s="6">
        <f>IF($A478="","",$K$3+SUM($E$2:$E478)-SUM($F$2:$F478))</f>
        <v/>
      </c>
      <c r="H478" s="4" t="n"/>
    </row>
    <row r="479">
      <c r="A479" s="10" t="n"/>
      <c r="B479" s="11">
        <f>IF($A479="","",TEXT($A479,"mmmm yyyy"))</f>
        <v/>
      </c>
      <c r="C479" s="12" t="n"/>
      <c r="D479" s="12" t="n"/>
      <c r="E479" s="13" t="n"/>
      <c r="F479" s="13" t="n"/>
      <c r="G479" s="14">
        <f>IF($A479="","",$K$3+SUM($E$2:$E479)-SUM($F$2:$F479))</f>
        <v/>
      </c>
      <c r="H479" s="12" t="n"/>
    </row>
    <row r="480">
      <c r="A480" s="2" t="n"/>
      <c r="B480" s="3">
        <f>IF($A480="","",TEXT($A480,"mmmm yyyy"))</f>
        <v/>
      </c>
      <c r="C480" s="4" t="n"/>
      <c r="D480" s="4" t="n"/>
      <c r="E480" s="5" t="n"/>
      <c r="F480" s="5" t="n"/>
      <c r="G480" s="6">
        <f>IF($A480="","",$K$3+SUM($E$2:$E480)-SUM($F$2:$F480))</f>
        <v/>
      </c>
      <c r="H480" s="4" t="n"/>
    </row>
    <row r="481">
      <c r="A481" s="10" t="n"/>
      <c r="B481" s="11">
        <f>IF($A481="","",TEXT($A481,"mmmm yyyy"))</f>
        <v/>
      </c>
      <c r="C481" s="12" t="n"/>
      <c r="D481" s="12" t="n"/>
      <c r="E481" s="13" t="n"/>
      <c r="F481" s="13" t="n"/>
      <c r="G481" s="14">
        <f>IF($A481="","",$K$3+SUM($E$2:$E481)-SUM($F$2:$F481))</f>
        <v/>
      </c>
      <c r="H481" s="12" t="n"/>
    </row>
    <row r="482">
      <c r="A482" s="2" t="n"/>
      <c r="B482" s="3">
        <f>IF($A482="","",TEXT($A482,"mmmm yyyy"))</f>
        <v/>
      </c>
      <c r="C482" s="4" t="n"/>
      <c r="D482" s="4" t="n"/>
      <c r="E482" s="5" t="n"/>
      <c r="F482" s="5" t="n"/>
      <c r="G482" s="6">
        <f>IF($A482="","",$K$3+SUM($E$2:$E482)-SUM($F$2:$F482))</f>
        <v/>
      </c>
      <c r="H482" s="4" t="n"/>
    </row>
    <row r="483">
      <c r="A483" s="10" t="n"/>
      <c r="B483" s="11">
        <f>IF($A483="","",TEXT($A483,"mmmm yyyy"))</f>
        <v/>
      </c>
      <c r="C483" s="12" t="n"/>
      <c r="D483" s="12" t="n"/>
      <c r="E483" s="13" t="n"/>
      <c r="F483" s="13" t="n"/>
      <c r="G483" s="14">
        <f>IF($A483="","",$K$3+SUM($E$2:$E483)-SUM($F$2:$F483))</f>
        <v/>
      </c>
      <c r="H483" s="12" t="n"/>
    </row>
    <row r="484">
      <c r="A484" s="2" t="n"/>
      <c r="B484" s="3">
        <f>IF($A484="","",TEXT($A484,"mmmm yyyy"))</f>
        <v/>
      </c>
      <c r="C484" s="4" t="n"/>
      <c r="D484" s="4" t="n"/>
      <c r="E484" s="5" t="n"/>
      <c r="F484" s="5" t="n"/>
      <c r="G484" s="6">
        <f>IF($A484="","",$K$3+SUM($E$2:$E484)-SUM($F$2:$F484))</f>
        <v/>
      </c>
      <c r="H484" s="4" t="n"/>
    </row>
    <row r="485">
      <c r="A485" s="10" t="n"/>
      <c r="B485" s="11">
        <f>IF($A485="","",TEXT($A485,"mmmm yyyy"))</f>
        <v/>
      </c>
      <c r="C485" s="12" t="n"/>
      <c r="D485" s="12" t="n"/>
      <c r="E485" s="13" t="n"/>
      <c r="F485" s="13" t="n"/>
      <c r="G485" s="14">
        <f>IF($A485="","",$K$3+SUM($E$2:$E485)-SUM($F$2:$F485))</f>
        <v/>
      </c>
      <c r="H485" s="12" t="n"/>
    </row>
    <row r="486">
      <c r="A486" s="2" t="n"/>
      <c r="B486" s="3">
        <f>IF($A486="","",TEXT($A486,"mmmm yyyy"))</f>
        <v/>
      </c>
      <c r="C486" s="4" t="n"/>
      <c r="D486" s="4" t="n"/>
      <c r="E486" s="5" t="n"/>
      <c r="F486" s="5" t="n"/>
      <c r="G486" s="6">
        <f>IF($A486="","",$K$3+SUM($E$2:$E486)-SUM($F$2:$F486))</f>
        <v/>
      </c>
      <c r="H486" s="4" t="n"/>
    </row>
    <row r="487">
      <c r="A487" s="10" t="n"/>
      <c r="B487" s="11">
        <f>IF($A487="","",TEXT($A487,"mmmm yyyy"))</f>
        <v/>
      </c>
      <c r="C487" s="12" t="n"/>
      <c r="D487" s="12" t="n"/>
      <c r="E487" s="13" t="n"/>
      <c r="F487" s="13" t="n"/>
      <c r="G487" s="14">
        <f>IF($A487="","",$K$3+SUM($E$2:$E487)-SUM($F$2:$F487))</f>
        <v/>
      </c>
      <c r="H487" s="12" t="n"/>
    </row>
    <row r="488">
      <c r="A488" s="2" t="n"/>
      <c r="B488" s="3">
        <f>IF($A488="","",TEXT($A488,"mmmm yyyy"))</f>
        <v/>
      </c>
      <c r="C488" s="4" t="n"/>
      <c r="D488" s="4" t="n"/>
      <c r="E488" s="5" t="n"/>
      <c r="F488" s="5" t="n"/>
      <c r="G488" s="6">
        <f>IF($A488="","",$K$3+SUM($E$2:$E488)-SUM($F$2:$F488))</f>
        <v/>
      </c>
      <c r="H488" s="4" t="n"/>
    </row>
    <row r="489">
      <c r="A489" s="10" t="n"/>
      <c r="B489" s="11">
        <f>IF($A489="","",TEXT($A489,"mmmm yyyy"))</f>
        <v/>
      </c>
      <c r="C489" s="12" t="n"/>
      <c r="D489" s="12" t="n"/>
      <c r="E489" s="13" t="n"/>
      <c r="F489" s="13" t="n"/>
      <c r="G489" s="14">
        <f>IF($A489="","",$K$3+SUM($E$2:$E489)-SUM($F$2:$F489))</f>
        <v/>
      </c>
      <c r="H489" s="12" t="n"/>
    </row>
    <row r="490">
      <c r="A490" s="2" t="n"/>
      <c r="B490" s="3">
        <f>IF($A490="","",TEXT($A490,"mmmm yyyy"))</f>
        <v/>
      </c>
      <c r="C490" s="4" t="n"/>
      <c r="D490" s="4" t="n"/>
      <c r="E490" s="5" t="n"/>
      <c r="F490" s="5" t="n"/>
      <c r="G490" s="6">
        <f>IF($A490="","",$K$3+SUM($E$2:$E490)-SUM($F$2:$F490))</f>
        <v/>
      </c>
      <c r="H490" s="4" t="n"/>
    </row>
    <row r="491">
      <c r="A491" s="10" t="n"/>
      <c r="B491" s="11">
        <f>IF($A491="","",TEXT($A491,"mmmm yyyy"))</f>
        <v/>
      </c>
      <c r="C491" s="12" t="n"/>
      <c r="D491" s="12" t="n"/>
      <c r="E491" s="13" t="n"/>
      <c r="F491" s="13" t="n"/>
      <c r="G491" s="14">
        <f>IF($A491="","",$K$3+SUM($E$2:$E491)-SUM($F$2:$F491))</f>
        <v/>
      </c>
      <c r="H491" s="12" t="n"/>
    </row>
    <row r="492">
      <c r="A492" s="2" t="n"/>
      <c r="B492" s="3">
        <f>IF($A492="","",TEXT($A492,"mmmm yyyy"))</f>
        <v/>
      </c>
      <c r="C492" s="4" t="n"/>
      <c r="D492" s="4" t="n"/>
      <c r="E492" s="5" t="n"/>
      <c r="F492" s="5" t="n"/>
      <c r="G492" s="6">
        <f>IF($A492="","",$K$3+SUM($E$2:$E492)-SUM($F$2:$F492))</f>
        <v/>
      </c>
      <c r="H492" s="4" t="n"/>
    </row>
    <row r="493">
      <c r="A493" s="10" t="n"/>
      <c r="B493" s="11">
        <f>IF($A493="","",TEXT($A493,"mmmm yyyy"))</f>
        <v/>
      </c>
      <c r="C493" s="12" t="n"/>
      <c r="D493" s="12" t="n"/>
      <c r="E493" s="13" t="n"/>
      <c r="F493" s="13" t="n"/>
      <c r="G493" s="14">
        <f>IF($A493="","",$K$3+SUM($E$2:$E493)-SUM($F$2:$F493))</f>
        <v/>
      </c>
      <c r="H493" s="12" t="n"/>
    </row>
    <row r="494">
      <c r="A494" s="2" t="n"/>
      <c r="B494" s="3">
        <f>IF($A494="","",TEXT($A494,"mmmm yyyy"))</f>
        <v/>
      </c>
      <c r="C494" s="4" t="n"/>
      <c r="D494" s="4" t="n"/>
      <c r="E494" s="5" t="n"/>
      <c r="F494" s="5" t="n"/>
      <c r="G494" s="6">
        <f>IF($A494="","",$K$3+SUM($E$2:$E494)-SUM($F$2:$F494))</f>
        <v/>
      </c>
      <c r="H494" s="4" t="n"/>
    </row>
    <row r="495">
      <c r="A495" s="10" t="n"/>
      <c r="B495" s="11">
        <f>IF($A495="","",TEXT($A495,"mmmm yyyy"))</f>
        <v/>
      </c>
      <c r="C495" s="12" t="n"/>
      <c r="D495" s="12" t="n"/>
      <c r="E495" s="13" t="n"/>
      <c r="F495" s="13" t="n"/>
      <c r="G495" s="14">
        <f>IF($A495="","",$K$3+SUM($E$2:$E495)-SUM($F$2:$F495))</f>
        <v/>
      </c>
      <c r="H495" s="12" t="n"/>
    </row>
    <row r="496">
      <c r="A496" s="2" t="n"/>
      <c r="B496" s="3">
        <f>IF($A496="","",TEXT($A496,"mmmm yyyy"))</f>
        <v/>
      </c>
      <c r="C496" s="4" t="n"/>
      <c r="D496" s="4" t="n"/>
      <c r="E496" s="5" t="n"/>
      <c r="F496" s="5" t="n"/>
      <c r="G496" s="6">
        <f>IF($A496="","",$K$3+SUM($E$2:$E496)-SUM($F$2:$F496))</f>
        <v/>
      </c>
      <c r="H496" s="4" t="n"/>
    </row>
    <row r="497">
      <c r="A497" s="10" t="n"/>
      <c r="B497" s="11">
        <f>IF($A497="","",TEXT($A497,"mmmm yyyy"))</f>
        <v/>
      </c>
      <c r="C497" s="12" t="n"/>
      <c r="D497" s="12" t="n"/>
      <c r="E497" s="13" t="n"/>
      <c r="F497" s="13" t="n"/>
      <c r="G497" s="14">
        <f>IF($A497="","",$K$3+SUM($E$2:$E497)-SUM($F$2:$F497))</f>
        <v/>
      </c>
      <c r="H497" s="12" t="n"/>
    </row>
    <row r="498">
      <c r="A498" s="2" t="n"/>
      <c r="B498" s="3">
        <f>IF($A498="","",TEXT($A498,"mmmm yyyy"))</f>
        <v/>
      </c>
      <c r="C498" s="4" t="n"/>
      <c r="D498" s="4" t="n"/>
      <c r="E498" s="5" t="n"/>
      <c r="F498" s="5" t="n"/>
      <c r="G498" s="6">
        <f>IF($A498="","",$K$3+SUM($E$2:$E498)-SUM($F$2:$F498))</f>
        <v/>
      </c>
      <c r="H498" s="4" t="n"/>
    </row>
    <row r="499">
      <c r="A499" s="10" t="n"/>
      <c r="B499" s="11">
        <f>IF($A499="","",TEXT($A499,"mmmm yyyy"))</f>
        <v/>
      </c>
      <c r="C499" s="12" t="n"/>
      <c r="D499" s="12" t="n"/>
      <c r="E499" s="13" t="n"/>
      <c r="F499" s="13" t="n"/>
      <c r="G499" s="14">
        <f>IF($A499="","",$K$3+SUM($E$2:$E499)-SUM($F$2:$F499))</f>
        <v/>
      </c>
      <c r="H499" s="12" t="n"/>
    </row>
    <row r="500">
      <c r="A500" s="2" t="n"/>
      <c r="B500" s="3">
        <f>IF($A500="","",TEXT($A500,"mmmm yyyy"))</f>
        <v/>
      </c>
      <c r="C500" s="4" t="n"/>
      <c r="D500" s="4" t="n"/>
      <c r="E500" s="5" t="n"/>
      <c r="F500" s="5" t="n"/>
      <c r="G500" s="6">
        <f>IF($A500="","",$K$3+SUM($E$2:$E500)-SUM($F$2:$F500))</f>
        <v/>
      </c>
      <c r="H500" s="4" t="n"/>
    </row>
    <row r="501">
      <c r="A501" s="10" t="n"/>
      <c r="B501" s="11">
        <f>IF($A501="","",TEXT($A501,"mmmm yyyy"))</f>
        <v/>
      </c>
      <c r="C501" s="12" t="n"/>
      <c r="D501" s="12" t="n"/>
      <c r="E501" s="13" t="n"/>
      <c r="F501" s="13" t="n"/>
      <c r="G501" s="14">
        <f>IF($A501="","",$K$3+SUM($E$2:$E501)-SUM($F$2:$F501))</f>
        <v/>
      </c>
      <c r="H501" s="12" t="n"/>
    </row>
  </sheetData>
  <autoFilter ref="A1:H501"/>
  <mergeCells count="11">
    <mergeCell ref="J34:N34"/>
    <mergeCell ref="J30:N30"/>
    <mergeCell ref="J29:N29"/>
    <mergeCell ref="J32:N32"/>
    <mergeCell ref="J28:N28"/>
    <mergeCell ref="J1:N1"/>
    <mergeCell ref="J33:N33"/>
    <mergeCell ref="J36:N36"/>
    <mergeCell ref="J27:N27"/>
    <mergeCell ref="J31:N31"/>
    <mergeCell ref="J35:N35"/>
  </mergeCells>
  <conditionalFormatting sqref="A2:H501">
    <cfRule type="expression" priority="1" dxfId="0" stopIfTrue="1">
      <formula>AND($E2&gt;0,$F2&gt;0)</formula>
    </cfRule>
  </conditionalFormatting>
  <conditionalFormatting sqref="D2:D501">
    <cfRule type="expression" priority="2" dxfId="0">
      <formula>AND($A2&lt;&gt;"",$D2="")</formula>
    </cfRule>
  </conditionalFormatting>
  <conditionalFormatting sqref="H2:H501">
    <cfRule type="expression" priority="3" dxfId="0">
      <formula>AND($D2=$J$14,$H2="")</formula>
    </cfRule>
  </conditionalFormatting>
  <conditionalFormatting sqref="A2:D501">
    <cfRule type="expression" priority="4" dxfId="1">
      <formula>AND($A2&lt;&gt;"",$E2&gt;0)</formula>
    </cfRule>
  </conditionalFormatting>
  <conditionalFormatting sqref="G2:G501">
    <cfRule type="expression" priority="5" dxfId="2">
      <formula>AND($A2&lt;&gt;"",$G2&lt;0)</formula>
    </cfRule>
  </conditionalFormatting>
  <conditionalFormatting sqref="E2:E501">
    <cfRule type="cellIs" priority="6" operator="greaterThan" dxfId="1">
      <formula>0</formula>
    </cfRule>
  </conditionalFormatting>
  <conditionalFormatting sqref="F2:F501">
    <cfRule type="expression" priority="7" dxfId="3">
      <formula>AND($F2&gt;0,$D2=$J$14)</formula>
    </cfRule>
  </conditionalFormatting>
  <conditionalFormatting sqref="L18:M18">
    <cfRule type="cellIs" priority="8" operator="lessThan" dxfId="2">
      <formula>0</formula>
    </cfRule>
  </conditionalFormatting>
  <conditionalFormatting sqref="L19:M19">
    <cfRule type="cellIs" priority="9" operator="lessThan" dxfId="2">
      <formula>0</formula>
    </cfRule>
  </conditionalFormatting>
  <dataValidations count="3">
    <dataValidation sqref="D2:D501" showDropDown="0" showInputMessage="0" showErrorMessage="1" allowBlank="1" errorTitle="Categoría no válida" error="Elígela del desplegable o añádela en J6:J14 del panel." type="list" errorStyle="warning">
      <formula1>Movimientos!$J$6:$J$14</formula1>
    </dataValidation>
    <dataValidation sqref="H2:H501" showDropDown="0" showInputMessage="0" showErrorMessage="1" allowBlank="1" errorTitle="Activo no válido" error="Ese activo no está en la hoja Inversiones." type="list" errorStyle="warning">
      <formula1>Inversiones!$A$6:$A$15</formula1>
    </dataValidation>
    <dataValidation sqref="E2:F501" showDropDown="0" showInputMessage="0" showErrorMessage="1" allowBlank="1" errorTitle="Importe no válido" error="No uses negativos: cambia de columna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3" customWidth="1" min="7" max="7"/>
    <col width="26" customWidth="1" min="8" max="8"/>
    <col width="15" customWidth="1" min="9" max="9"/>
    <col width="13" customWidth="1" min="10" max="10"/>
    <col width="3" customWidth="1" min="11" max="11"/>
    <col width="3" customWidth="1" min="12" max="12"/>
    <col width="16" customWidth="1" min="13" max="13"/>
  </cols>
  <sheetData>
    <row r="1">
      <c r="A1" s="1" t="inlineStr">
        <is>
          <t>RESUMEN ANUAL</t>
        </is>
      </c>
      <c r="B1" s="1" t="n"/>
      <c r="C1" s="1" t="n"/>
      <c r="D1" s="1" t="n"/>
      <c r="E1" s="1" t="n"/>
      <c r="F1" s="1" t="n"/>
      <c r="H1" s="37" t="inlineStr">
        <is>
          <t>Año:</t>
        </is>
      </c>
      <c r="I1" s="38">
        <f>YEAR(Movimientos!$K$2)</f>
        <v/>
      </c>
    </row>
    <row r="2">
      <c r="A2" s="9" t="inlineStr">
        <is>
          <t>El año sale de Movimientos!K2. Cámbialo allí para ver otro año.</t>
        </is>
      </c>
    </row>
    <row r="3">
      <c r="A3" s="16" t="inlineStr">
        <is>
          <t>MES</t>
        </is>
      </c>
      <c r="B3" s="16" t="inlineStr">
        <is>
          <t>INGRESOS</t>
        </is>
      </c>
      <c r="C3" s="16" t="inlineStr">
        <is>
          <t>GASTOS</t>
        </is>
      </c>
      <c r="D3" s="16" t="inlineStr">
        <is>
          <t>AHORRO</t>
        </is>
      </c>
      <c r="E3" s="16" t="inlineStr">
        <is>
          <t>INVERSIÓN</t>
        </is>
      </c>
      <c r="F3" s="16" t="inlineStr">
        <is>
          <t>SALDO DEL BANCO</t>
        </is>
      </c>
      <c r="H3" s="16" t="inlineStr">
        <is>
          <t>GASTO POR CATEGORÍA</t>
        </is>
      </c>
      <c r="I3" s="16" t="inlineStr">
        <is>
          <t>TOTAL AÑO</t>
        </is>
      </c>
      <c r="J3" s="16" t="inlineStr">
        <is>
          <t>% DEL TOTAL</t>
        </is>
      </c>
      <c r="M3" s="39" t="inlineStr">
        <is>
          <t>Etiquetas gráficos</t>
        </is>
      </c>
    </row>
    <row r="4">
      <c r="A4" s="40">
        <f>DATE($I$1,1,1)</f>
        <v/>
      </c>
      <c r="B4" s="5">
        <f>SUMIFS(Movimientos!$E$2:$E$501,Movimientos!$A$2:$A$501,"&gt;="&amp;DATE($I$1,1,1),Movimientos!$A$2:$A$501,"&lt;"&amp;DATE($I$1,2,1))</f>
        <v/>
      </c>
      <c r="C4" s="5">
        <f>SUMIFS(Movimientos!$F$2:$F$501,Movimientos!$A$2:$A$501,"&gt;="&amp;DATE($I$1,1,1),Movimientos!$A$2:$A$501,"&lt;"&amp;DATE($I$1,2,1),Movimientos!$D$2:$D$501,"&lt;&gt;"&amp;Movimientos!$J$14)</f>
        <v/>
      </c>
      <c r="D4" s="5">
        <f>B4-C4</f>
        <v/>
      </c>
      <c r="E4" s="5">
        <f>SUMIFS(Movimientos!$F$2:$F$501,Movimientos!$A$2:$A$501,"&gt;="&amp;DATE($I$1,1,1),Movimientos!$A$2:$A$501,"&lt;"&amp;DATE($I$1,2,1),Movimientos!$D$2:$D$501,Movimientos!$J$14)</f>
        <v/>
      </c>
      <c r="F4" s="5">
        <f>Movimientos!$K$3+SUMIFS(Movimientos!$E$2:$E$501,Movimientos!$A$2:$A$501,"&lt;"&amp;DATE($I$1,2,1))-SUMIFS(Movimientos!$F$2:$F$501,Movimientos!$A$2:$A$501,"&lt;"&amp;DATE($I$1,2,1))</f>
        <v/>
      </c>
      <c r="H4" s="12">
        <f>Movimientos!$J$8</f>
        <v/>
      </c>
      <c r="I4" s="13">
        <f>Movimientos!$M$8</f>
        <v/>
      </c>
      <c r="J4" s="41">
        <f>IFERROR(I4/$I$10,0)</f>
        <v/>
      </c>
      <c r="M4" s="42">
        <f>TEXT(A4,"mmm")</f>
        <v/>
      </c>
    </row>
    <row r="5">
      <c r="A5" s="43">
        <f>DATE($I$1,2,1)</f>
        <v/>
      </c>
      <c r="B5" s="13">
        <f>SUMIFS(Movimientos!$E$2:$E$501,Movimientos!$A$2:$A$501,"&gt;="&amp;DATE($I$1,2,1),Movimientos!$A$2:$A$501,"&lt;"&amp;DATE($I$1,3,1))</f>
        <v/>
      </c>
      <c r="C5" s="13">
        <f>SUMIFS(Movimientos!$F$2:$F$501,Movimientos!$A$2:$A$501,"&gt;="&amp;DATE($I$1,2,1),Movimientos!$A$2:$A$501,"&lt;"&amp;DATE($I$1,3,1),Movimientos!$D$2:$D$501,"&lt;&gt;"&amp;Movimientos!$J$14)</f>
        <v/>
      </c>
      <c r="D5" s="13">
        <f>B5-C5</f>
        <v/>
      </c>
      <c r="E5" s="13">
        <f>SUMIFS(Movimientos!$F$2:$F$501,Movimientos!$A$2:$A$501,"&gt;="&amp;DATE($I$1,2,1),Movimientos!$A$2:$A$501,"&lt;"&amp;DATE($I$1,3,1),Movimientos!$D$2:$D$501,Movimientos!$J$14)</f>
        <v/>
      </c>
      <c r="F5" s="13">
        <f>Movimientos!$K$3+SUMIFS(Movimientos!$E$2:$E$501,Movimientos!$A$2:$A$501,"&lt;"&amp;DATE($I$1,3,1))-SUMIFS(Movimientos!$F$2:$F$501,Movimientos!$A$2:$A$501,"&lt;"&amp;DATE($I$1,3,1))</f>
        <v/>
      </c>
      <c r="H5" s="12">
        <f>Movimientos!$J$9</f>
        <v/>
      </c>
      <c r="I5" s="13">
        <f>Movimientos!$M$9</f>
        <v/>
      </c>
      <c r="J5" s="41">
        <f>IFERROR(I5/$I$10,0)</f>
        <v/>
      </c>
      <c r="M5" s="42">
        <f>TEXT(A5,"mmm")</f>
        <v/>
      </c>
    </row>
    <row r="6">
      <c r="A6" s="40">
        <f>DATE($I$1,3,1)</f>
        <v/>
      </c>
      <c r="B6" s="5">
        <f>SUMIFS(Movimientos!$E$2:$E$501,Movimientos!$A$2:$A$501,"&gt;="&amp;DATE($I$1,3,1),Movimientos!$A$2:$A$501,"&lt;"&amp;DATE($I$1,4,1))</f>
        <v/>
      </c>
      <c r="C6" s="5">
        <f>SUMIFS(Movimientos!$F$2:$F$501,Movimientos!$A$2:$A$501,"&gt;="&amp;DATE($I$1,3,1),Movimientos!$A$2:$A$501,"&lt;"&amp;DATE($I$1,4,1),Movimientos!$D$2:$D$501,"&lt;&gt;"&amp;Movimientos!$J$14)</f>
        <v/>
      </c>
      <c r="D6" s="5">
        <f>B6-C6</f>
        <v/>
      </c>
      <c r="E6" s="5">
        <f>SUMIFS(Movimientos!$F$2:$F$501,Movimientos!$A$2:$A$501,"&gt;="&amp;DATE($I$1,3,1),Movimientos!$A$2:$A$501,"&lt;"&amp;DATE($I$1,4,1),Movimientos!$D$2:$D$501,Movimientos!$J$14)</f>
        <v/>
      </c>
      <c r="F6" s="5">
        <f>Movimientos!$K$3+SUMIFS(Movimientos!$E$2:$E$501,Movimientos!$A$2:$A$501,"&lt;"&amp;DATE($I$1,4,1))-SUMIFS(Movimientos!$F$2:$F$501,Movimientos!$A$2:$A$501,"&lt;"&amp;DATE($I$1,4,1))</f>
        <v/>
      </c>
      <c r="H6" s="12">
        <f>Movimientos!$J$10</f>
        <v/>
      </c>
      <c r="I6" s="13">
        <f>Movimientos!$M$10</f>
        <v/>
      </c>
      <c r="J6" s="41">
        <f>IFERROR(I6/$I$10,0)</f>
        <v/>
      </c>
      <c r="M6" s="42">
        <f>TEXT(A6,"mmm")</f>
        <v/>
      </c>
    </row>
    <row r="7">
      <c r="A7" s="43">
        <f>DATE($I$1,4,1)</f>
        <v/>
      </c>
      <c r="B7" s="13">
        <f>SUMIFS(Movimientos!$E$2:$E$501,Movimientos!$A$2:$A$501,"&gt;="&amp;DATE($I$1,4,1),Movimientos!$A$2:$A$501,"&lt;"&amp;DATE($I$1,5,1))</f>
        <v/>
      </c>
      <c r="C7" s="13">
        <f>SUMIFS(Movimientos!$F$2:$F$501,Movimientos!$A$2:$A$501,"&gt;="&amp;DATE($I$1,4,1),Movimientos!$A$2:$A$501,"&lt;"&amp;DATE($I$1,5,1),Movimientos!$D$2:$D$501,"&lt;&gt;"&amp;Movimientos!$J$14)</f>
        <v/>
      </c>
      <c r="D7" s="13">
        <f>B7-C7</f>
        <v/>
      </c>
      <c r="E7" s="13">
        <f>SUMIFS(Movimientos!$F$2:$F$501,Movimientos!$A$2:$A$501,"&gt;="&amp;DATE($I$1,4,1),Movimientos!$A$2:$A$501,"&lt;"&amp;DATE($I$1,5,1),Movimientos!$D$2:$D$501,Movimientos!$J$14)</f>
        <v/>
      </c>
      <c r="F7" s="13">
        <f>Movimientos!$K$3+SUMIFS(Movimientos!$E$2:$E$501,Movimientos!$A$2:$A$501,"&lt;"&amp;DATE($I$1,5,1))-SUMIFS(Movimientos!$F$2:$F$501,Movimientos!$A$2:$A$501,"&lt;"&amp;DATE($I$1,5,1))</f>
        <v/>
      </c>
      <c r="H7" s="12">
        <f>Movimientos!$J$11</f>
        <v/>
      </c>
      <c r="I7" s="13">
        <f>Movimientos!$M$11</f>
        <v/>
      </c>
      <c r="J7" s="41">
        <f>IFERROR(I7/$I$10,0)</f>
        <v/>
      </c>
      <c r="M7" s="42">
        <f>TEXT(A7,"mmm")</f>
        <v/>
      </c>
    </row>
    <row r="8">
      <c r="A8" s="40">
        <f>DATE($I$1,5,1)</f>
        <v/>
      </c>
      <c r="B8" s="5">
        <f>SUMIFS(Movimientos!$E$2:$E$501,Movimientos!$A$2:$A$501,"&gt;="&amp;DATE($I$1,5,1),Movimientos!$A$2:$A$501,"&lt;"&amp;DATE($I$1,6,1))</f>
        <v/>
      </c>
      <c r="C8" s="5">
        <f>SUMIFS(Movimientos!$F$2:$F$501,Movimientos!$A$2:$A$501,"&gt;="&amp;DATE($I$1,5,1),Movimientos!$A$2:$A$501,"&lt;"&amp;DATE($I$1,6,1),Movimientos!$D$2:$D$501,"&lt;&gt;"&amp;Movimientos!$J$14)</f>
        <v/>
      </c>
      <c r="D8" s="5">
        <f>B8-C8</f>
        <v/>
      </c>
      <c r="E8" s="5">
        <f>SUMIFS(Movimientos!$F$2:$F$501,Movimientos!$A$2:$A$501,"&gt;="&amp;DATE($I$1,5,1),Movimientos!$A$2:$A$501,"&lt;"&amp;DATE($I$1,6,1),Movimientos!$D$2:$D$501,Movimientos!$J$14)</f>
        <v/>
      </c>
      <c r="F8" s="5">
        <f>Movimientos!$K$3+SUMIFS(Movimientos!$E$2:$E$501,Movimientos!$A$2:$A$501,"&lt;"&amp;DATE($I$1,6,1))-SUMIFS(Movimientos!$F$2:$F$501,Movimientos!$A$2:$A$501,"&lt;"&amp;DATE($I$1,6,1))</f>
        <v/>
      </c>
      <c r="H8" s="12">
        <f>Movimientos!$J$12</f>
        <v/>
      </c>
      <c r="I8" s="13">
        <f>Movimientos!$M$12</f>
        <v/>
      </c>
      <c r="J8" s="41">
        <f>IFERROR(I8/$I$10,0)</f>
        <v/>
      </c>
      <c r="M8" s="42">
        <f>TEXT(A8,"mmm")</f>
        <v/>
      </c>
    </row>
    <row r="9">
      <c r="A9" s="43">
        <f>DATE($I$1,6,1)</f>
        <v/>
      </c>
      <c r="B9" s="13">
        <f>SUMIFS(Movimientos!$E$2:$E$501,Movimientos!$A$2:$A$501,"&gt;="&amp;DATE($I$1,6,1),Movimientos!$A$2:$A$501,"&lt;"&amp;DATE($I$1,7,1))</f>
        <v/>
      </c>
      <c r="C9" s="13">
        <f>SUMIFS(Movimientos!$F$2:$F$501,Movimientos!$A$2:$A$501,"&gt;="&amp;DATE($I$1,6,1),Movimientos!$A$2:$A$501,"&lt;"&amp;DATE($I$1,7,1),Movimientos!$D$2:$D$501,"&lt;&gt;"&amp;Movimientos!$J$14)</f>
        <v/>
      </c>
      <c r="D9" s="13">
        <f>B9-C9</f>
        <v/>
      </c>
      <c r="E9" s="13">
        <f>SUMIFS(Movimientos!$F$2:$F$501,Movimientos!$A$2:$A$501,"&gt;="&amp;DATE($I$1,6,1),Movimientos!$A$2:$A$501,"&lt;"&amp;DATE($I$1,7,1),Movimientos!$D$2:$D$501,Movimientos!$J$14)</f>
        <v/>
      </c>
      <c r="F9" s="13">
        <f>Movimientos!$K$3+SUMIFS(Movimientos!$E$2:$E$501,Movimientos!$A$2:$A$501,"&lt;"&amp;DATE($I$1,7,1))-SUMIFS(Movimientos!$F$2:$F$501,Movimientos!$A$2:$A$501,"&lt;"&amp;DATE($I$1,7,1))</f>
        <v/>
      </c>
      <c r="H9" s="12">
        <f>Movimientos!$J$13</f>
        <v/>
      </c>
      <c r="I9" s="13">
        <f>Movimientos!$M$13</f>
        <v/>
      </c>
      <c r="J9" s="41">
        <f>IFERROR(I9/$I$10,0)</f>
        <v/>
      </c>
      <c r="M9" s="42">
        <f>TEXT(A9,"mmm")</f>
        <v/>
      </c>
    </row>
    <row r="10">
      <c r="A10" s="40">
        <f>DATE($I$1,7,1)</f>
        <v/>
      </c>
      <c r="B10" s="5">
        <f>SUMIFS(Movimientos!$E$2:$E$501,Movimientos!$A$2:$A$501,"&gt;="&amp;DATE($I$1,7,1),Movimientos!$A$2:$A$501,"&lt;"&amp;DATE($I$1,8,1))</f>
        <v/>
      </c>
      <c r="C10" s="5">
        <f>SUMIFS(Movimientos!$F$2:$F$501,Movimientos!$A$2:$A$501,"&gt;="&amp;DATE($I$1,7,1),Movimientos!$A$2:$A$501,"&lt;"&amp;DATE($I$1,8,1),Movimientos!$D$2:$D$501,"&lt;&gt;"&amp;Movimientos!$J$14)</f>
        <v/>
      </c>
      <c r="D10" s="5">
        <f>B10-C10</f>
        <v/>
      </c>
      <c r="E10" s="5">
        <f>SUMIFS(Movimientos!$F$2:$F$501,Movimientos!$A$2:$A$501,"&gt;="&amp;DATE($I$1,7,1),Movimientos!$A$2:$A$501,"&lt;"&amp;DATE($I$1,8,1),Movimientos!$D$2:$D$501,Movimientos!$J$14)</f>
        <v/>
      </c>
      <c r="F10" s="5">
        <f>Movimientos!$K$3+SUMIFS(Movimientos!$E$2:$E$501,Movimientos!$A$2:$A$501,"&lt;"&amp;DATE($I$1,8,1))-SUMIFS(Movimientos!$F$2:$F$501,Movimientos!$A$2:$A$501,"&lt;"&amp;DATE($I$1,8,1))</f>
        <v/>
      </c>
      <c r="H10" s="26" t="inlineStr">
        <is>
          <t>TOTAL GASTOS</t>
        </is>
      </c>
      <c r="I10" s="27">
        <f>SUM(I4:I9)</f>
        <v/>
      </c>
      <c r="J10" s="44">
        <f>IFERROR(SUM(J4:J9),0)</f>
        <v/>
      </c>
      <c r="M10" s="42">
        <f>TEXT(A10,"mmm")</f>
        <v/>
      </c>
    </row>
    <row r="11">
      <c r="A11" s="43">
        <f>DATE($I$1,8,1)</f>
        <v/>
      </c>
      <c r="B11" s="13">
        <f>SUMIFS(Movimientos!$E$2:$E$501,Movimientos!$A$2:$A$501,"&gt;="&amp;DATE($I$1,8,1),Movimientos!$A$2:$A$501,"&lt;"&amp;DATE($I$1,9,1))</f>
        <v/>
      </c>
      <c r="C11" s="13">
        <f>SUMIFS(Movimientos!$F$2:$F$501,Movimientos!$A$2:$A$501,"&gt;="&amp;DATE($I$1,8,1),Movimientos!$A$2:$A$501,"&lt;"&amp;DATE($I$1,9,1),Movimientos!$D$2:$D$501,"&lt;&gt;"&amp;Movimientos!$J$14)</f>
        <v/>
      </c>
      <c r="D11" s="13">
        <f>B11-C11</f>
        <v/>
      </c>
      <c r="E11" s="13">
        <f>SUMIFS(Movimientos!$F$2:$F$501,Movimientos!$A$2:$A$501,"&gt;="&amp;DATE($I$1,8,1),Movimientos!$A$2:$A$501,"&lt;"&amp;DATE($I$1,9,1),Movimientos!$D$2:$D$501,Movimientos!$J$14)</f>
        <v/>
      </c>
      <c r="F11" s="13">
        <f>Movimientos!$K$3+SUMIFS(Movimientos!$E$2:$E$501,Movimientos!$A$2:$A$501,"&lt;"&amp;DATE($I$1,9,1))-SUMIFS(Movimientos!$F$2:$F$501,Movimientos!$A$2:$A$501,"&lt;"&amp;DATE($I$1,9,1))</f>
        <v/>
      </c>
      <c r="H11" s="45" t="inlineStr">
        <is>
          <t>Cuadre (debe ser 0)</t>
        </is>
      </c>
      <c r="I11" s="46">
        <f>I10-C16</f>
        <v/>
      </c>
      <c r="M11" s="42">
        <f>TEXT(A11,"mmm")</f>
        <v/>
      </c>
    </row>
    <row r="12">
      <c r="A12" s="40">
        <f>DATE($I$1,9,1)</f>
        <v/>
      </c>
      <c r="B12" s="5">
        <f>SUMIFS(Movimientos!$E$2:$E$501,Movimientos!$A$2:$A$501,"&gt;="&amp;DATE($I$1,9,1),Movimientos!$A$2:$A$501,"&lt;"&amp;DATE($I$1,10,1))</f>
        <v/>
      </c>
      <c r="C12" s="5">
        <f>SUMIFS(Movimientos!$F$2:$F$501,Movimientos!$A$2:$A$501,"&gt;="&amp;DATE($I$1,9,1),Movimientos!$A$2:$A$501,"&lt;"&amp;DATE($I$1,10,1),Movimientos!$D$2:$D$501,"&lt;&gt;"&amp;Movimientos!$J$14)</f>
        <v/>
      </c>
      <c r="D12" s="5">
        <f>B12-C12</f>
        <v/>
      </c>
      <c r="E12" s="5">
        <f>SUMIFS(Movimientos!$F$2:$F$501,Movimientos!$A$2:$A$501,"&gt;="&amp;DATE($I$1,9,1),Movimientos!$A$2:$A$501,"&lt;"&amp;DATE($I$1,10,1),Movimientos!$D$2:$D$501,Movimientos!$J$14)</f>
        <v/>
      </c>
      <c r="F12" s="5">
        <f>Movimientos!$K$3+SUMIFS(Movimientos!$E$2:$E$501,Movimientos!$A$2:$A$501,"&lt;"&amp;DATE($I$1,10,1))-SUMIFS(Movimientos!$F$2:$F$501,Movimientos!$A$2:$A$501,"&lt;"&amp;DATE($I$1,10,1))</f>
        <v/>
      </c>
      <c r="M12" s="42">
        <f>TEXT(A12,"mmm")</f>
        <v/>
      </c>
    </row>
    <row r="13">
      <c r="A13" s="43">
        <f>DATE($I$1,10,1)</f>
        <v/>
      </c>
      <c r="B13" s="13">
        <f>SUMIFS(Movimientos!$E$2:$E$501,Movimientos!$A$2:$A$501,"&gt;="&amp;DATE($I$1,10,1),Movimientos!$A$2:$A$501,"&lt;"&amp;DATE($I$1,11,1))</f>
        <v/>
      </c>
      <c r="C13" s="13">
        <f>SUMIFS(Movimientos!$F$2:$F$501,Movimientos!$A$2:$A$501,"&gt;="&amp;DATE($I$1,10,1),Movimientos!$A$2:$A$501,"&lt;"&amp;DATE($I$1,11,1),Movimientos!$D$2:$D$501,"&lt;&gt;"&amp;Movimientos!$J$14)</f>
        <v/>
      </c>
      <c r="D13" s="13">
        <f>B13-C13</f>
        <v/>
      </c>
      <c r="E13" s="13">
        <f>SUMIFS(Movimientos!$F$2:$F$501,Movimientos!$A$2:$A$501,"&gt;="&amp;DATE($I$1,10,1),Movimientos!$A$2:$A$501,"&lt;"&amp;DATE($I$1,11,1),Movimientos!$D$2:$D$501,Movimientos!$J$14)</f>
        <v/>
      </c>
      <c r="F13" s="13">
        <f>Movimientos!$K$3+SUMIFS(Movimientos!$E$2:$E$501,Movimientos!$A$2:$A$501,"&lt;"&amp;DATE($I$1,11,1))-SUMIFS(Movimientos!$F$2:$F$501,Movimientos!$A$2:$A$501,"&lt;"&amp;DATE($I$1,11,1))</f>
        <v/>
      </c>
      <c r="H13" s="16" t="inlineStr">
        <is>
          <t>INGRESO POR CATEGORÍA</t>
        </is>
      </c>
      <c r="I13" s="16" t="inlineStr">
        <is>
          <t>TOTAL AÑO</t>
        </is>
      </c>
      <c r="J13" s="16" t="inlineStr">
        <is>
          <t>% DEL TOTAL</t>
        </is>
      </c>
      <c r="M13" s="42">
        <f>TEXT(A13,"mmm")</f>
        <v/>
      </c>
    </row>
    <row r="14">
      <c r="A14" s="40">
        <f>DATE($I$1,11,1)</f>
        <v/>
      </c>
      <c r="B14" s="5">
        <f>SUMIFS(Movimientos!$E$2:$E$501,Movimientos!$A$2:$A$501,"&gt;="&amp;DATE($I$1,11,1),Movimientos!$A$2:$A$501,"&lt;"&amp;DATE($I$1,12,1))</f>
        <v/>
      </c>
      <c r="C14" s="5">
        <f>SUMIFS(Movimientos!$F$2:$F$501,Movimientos!$A$2:$A$501,"&gt;="&amp;DATE($I$1,11,1),Movimientos!$A$2:$A$501,"&lt;"&amp;DATE($I$1,12,1),Movimientos!$D$2:$D$501,"&lt;&gt;"&amp;Movimientos!$J$14)</f>
        <v/>
      </c>
      <c r="D14" s="5">
        <f>B14-C14</f>
        <v/>
      </c>
      <c r="E14" s="5">
        <f>SUMIFS(Movimientos!$F$2:$F$501,Movimientos!$A$2:$A$501,"&gt;="&amp;DATE($I$1,11,1),Movimientos!$A$2:$A$501,"&lt;"&amp;DATE($I$1,12,1),Movimientos!$D$2:$D$501,Movimientos!$J$14)</f>
        <v/>
      </c>
      <c r="F14" s="5">
        <f>Movimientos!$K$3+SUMIFS(Movimientos!$E$2:$E$501,Movimientos!$A$2:$A$501,"&lt;"&amp;DATE($I$1,12,1))-SUMIFS(Movimientos!$F$2:$F$501,Movimientos!$A$2:$A$501,"&lt;"&amp;DATE($I$1,12,1))</f>
        <v/>
      </c>
      <c r="H14" s="12">
        <f>Movimientos!$J$6</f>
        <v/>
      </c>
      <c r="I14" s="13">
        <f>Movimientos!$M$6</f>
        <v/>
      </c>
      <c r="J14" s="41">
        <f>IFERROR(I14/$I$16,0)</f>
        <v/>
      </c>
      <c r="M14" s="42">
        <f>TEXT(A14,"mmm")</f>
        <v/>
      </c>
    </row>
    <row r="15">
      <c r="A15" s="43">
        <f>DATE($I$1,12,1)</f>
        <v/>
      </c>
      <c r="B15" s="13">
        <f>SUMIFS(Movimientos!$E$2:$E$501,Movimientos!$A$2:$A$501,"&gt;="&amp;DATE($I$1,12,1),Movimientos!$A$2:$A$501,"&lt;"&amp;DATE($I$1,13,1))</f>
        <v/>
      </c>
      <c r="C15" s="13">
        <f>SUMIFS(Movimientos!$F$2:$F$501,Movimientos!$A$2:$A$501,"&gt;="&amp;DATE($I$1,12,1),Movimientos!$A$2:$A$501,"&lt;"&amp;DATE($I$1,13,1),Movimientos!$D$2:$D$501,"&lt;&gt;"&amp;Movimientos!$J$14)</f>
        <v/>
      </c>
      <c r="D15" s="13">
        <f>B15-C15</f>
        <v/>
      </c>
      <c r="E15" s="13">
        <f>SUMIFS(Movimientos!$F$2:$F$501,Movimientos!$A$2:$A$501,"&gt;="&amp;DATE($I$1,12,1),Movimientos!$A$2:$A$501,"&lt;"&amp;DATE($I$1,13,1),Movimientos!$D$2:$D$501,Movimientos!$J$14)</f>
        <v/>
      </c>
      <c r="F15" s="13">
        <f>Movimientos!$K$3+SUMIFS(Movimientos!$E$2:$E$501,Movimientos!$A$2:$A$501,"&lt;"&amp;DATE($I$1,13,1))-SUMIFS(Movimientos!$F$2:$F$501,Movimientos!$A$2:$A$501,"&lt;"&amp;DATE($I$1,13,1))</f>
        <v/>
      </c>
      <c r="H15" s="12">
        <f>Movimientos!$J$7</f>
        <v/>
      </c>
      <c r="I15" s="13">
        <f>Movimientos!$M$7</f>
        <v/>
      </c>
      <c r="J15" s="41">
        <f>IFERROR(I15/$I$16,0)</f>
        <v/>
      </c>
      <c r="M15" s="42">
        <f>TEXT(A15,"mmm")</f>
        <v/>
      </c>
    </row>
    <row r="16">
      <c r="A16" s="30" t="inlineStr">
        <is>
          <t>TOTAL AÑO</t>
        </is>
      </c>
      <c r="B16" s="31">
        <f>SUM(B4:B15)</f>
        <v/>
      </c>
      <c r="C16" s="31">
        <f>SUM(C4:C15)</f>
        <v/>
      </c>
      <c r="D16" s="31">
        <f>SUM(D4:D15)</f>
        <v/>
      </c>
      <c r="E16" s="31">
        <f>SUM(E4:E15)</f>
        <v/>
      </c>
      <c r="F16" s="31">
        <f>Movimientos!$L$24</f>
        <v/>
      </c>
      <c r="H16" s="26" t="inlineStr">
        <is>
          <t>TOTAL INGRESOS</t>
        </is>
      </c>
      <c r="I16" s="27">
        <f>SUM(I14:I15)</f>
        <v/>
      </c>
      <c r="J16" s="44">
        <f>IFERROR(SUM(J14:J15),0)</f>
        <v/>
      </c>
    </row>
    <row r="18">
      <c r="A18" s="16" t="inlineStr">
        <is>
          <t>INDICADOR</t>
        </is>
      </c>
      <c r="B18" s="16" t="inlineStr">
        <is>
          <t>VALOR</t>
        </is>
      </c>
    </row>
    <row r="19">
      <c r="A19" s="47" t="inlineStr">
        <is>
          <t>Saldo actual del banco</t>
        </is>
      </c>
      <c r="B19" s="48">
        <f>Movimientos!$L$24</f>
        <v/>
      </c>
    </row>
    <row r="20">
      <c r="A20" s="12" t="inlineStr">
        <is>
          <t>Ahorro medio mensual</t>
        </is>
      </c>
      <c r="B20" s="49">
        <f>IFERROR($D$16/Movimientos!$L$23,0)</f>
        <v/>
      </c>
    </row>
    <row r="21">
      <c r="A21" s="12" t="inlineStr">
        <is>
          <t>Gasto medio mensual</t>
        </is>
      </c>
      <c r="B21" s="49">
        <f>IFERROR($C$16/Movimientos!$L$23,0)</f>
        <v/>
      </c>
    </row>
    <row r="22">
      <c r="A22" s="12" t="inlineStr">
        <is>
          <t>Tasa de ahorro del año</t>
        </is>
      </c>
      <c r="B22" s="50">
        <f>IFERROR($D$16/$B$16,0)</f>
        <v/>
      </c>
    </row>
    <row r="23">
      <c r="A23" s="12" t="inlineStr">
        <is>
          <t>Mes de mayor gasto</t>
        </is>
      </c>
      <c r="B23" s="51">
        <f>IFERROR(TEXT(INDEX($A$4:$A$15,MATCH(MAX($C$4:$C$15),$C$4:$C$15,0)),"mmmm"),"")</f>
        <v/>
      </c>
    </row>
    <row r="24">
      <c r="A24" s="12" t="inlineStr">
        <is>
          <t>Meses de colchón</t>
        </is>
      </c>
      <c r="B24" s="52">
        <f>IFERROR(Movimientos!$L$24/($C$16/Movimientos!$L$23),0)</f>
        <v/>
      </c>
    </row>
    <row r="25">
      <c r="A25" s="12" t="inlineStr">
        <is>
          <t>Aportado a inversión (año)</t>
        </is>
      </c>
      <c r="B25" s="49">
        <f>$E$16</f>
        <v/>
      </c>
    </row>
    <row r="26">
      <c r="A26" s="53" t="inlineStr">
        <is>
          <t>Total aportado a la cartera</t>
        </is>
      </c>
      <c r="B26" s="54">
        <f>Inversiones!$E$16</f>
        <v/>
      </c>
    </row>
    <row r="27">
      <c r="A27" s="53" t="inlineStr">
        <is>
          <t>Valor de la cartera</t>
        </is>
      </c>
      <c r="B27" s="54">
        <f>Inversiones!$F$16</f>
        <v/>
      </c>
    </row>
    <row r="28">
      <c r="A28" s="53" t="inlineStr">
        <is>
          <t>Generado por el mercado</t>
        </is>
      </c>
      <c r="B28" s="54">
        <f>Inversiones!$G$16</f>
        <v/>
      </c>
    </row>
    <row r="29">
      <c r="A29" s="30" t="inlineStr">
        <is>
          <t>Patrimonio (banco + cartera)</t>
        </is>
      </c>
      <c r="B29" s="55">
        <f>Movimientos!$L$24+Inversiones!$F$16</f>
        <v/>
      </c>
    </row>
  </sheetData>
  <mergeCells count="2">
    <mergeCell ref="A2:F2"/>
    <mergeCell ref="A1:F1"/>
  </mergeCells>
  <conditionalFormatting sqref="D4:D16">
    <cfRule type="cellIs" priority="1" operator="lessThan" dxfId="2">
      <formula>0</formula>
    </cfRule>
    <cfRule type="cellIs" priority="2" operator="greaterThan" dxfId="4">
      <formula>0</formula>
    </cfRule>
  </conditionalFormatting>
  <conditionalFormatting sqref="I11">
    <cfRule type="cellIs" priority="3" operator="notEqual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2" customWidth="1" min="3" max="3"/>
    <col width="16" customWidth="1" min="4" max="4"/>
    <col width="15" customWidth="1" min="5" max="5"/>
  </cols>
  <sheetData>
    <row r="1">
      <c r="A1" s="1" t="inlineStr">
        <is>
          <t>PRESUPUESTO MENSUAL</t>
        </is>
      </c>
      <c r="B1" s="1" t="n"/>
      <c r="C1" s="1" t="n"/>
      <c r="D1" s="1" t="n"/>
      <c r="E1" s="1" t="n"/>
    </row>
    <row r="2">
      <c r="A2" s="9" t="inlineStr">
        <is>
          <t>Rellena solo la columna amarilla. El mes es el de Movimientos!K2.</t>
        </is>
      </c>
    </row>
    <row r="4">
      <c r="A4" s="16" t="inlineStr">
        <is>
          <t>CATEGORÍA</t>
        </is>
      </c>
      <c r="B4" s="16" t="inlineStr">
        <is>
          <t>PRESUPUESTO</t>
        </is>
      </c>
      <c r="C4" s="16" t="inlineStr">
        <is>
          <t>GASTO REAL</t>
        </is>
      </c>
      <c r="D4" s="16" t="inlineStr">
        <is>
          <t>DISPONIBLE</t>
        </is>
      </c>
      <c r="E4" s="16" t="inlineStr">
        <is>
          <t>% CONSUMIDO</t>
        </is>
      </c>
    </row>
    <row r="5">
      <c r="A5" s="12">
        <f>Movimientos!$J$8</f>
        <v/>
      </c>
      <c r="B5" s="56" t="n">
        <v>150</v>
      </c>
      <c r="C5" s="13">
        <f>Movimientos!$L$8</f>
        <v/>
      </c>
      <c r="D5" s="13">
        <f>B5-C5</f>
        <v/>
      </c>
      <c r="E5" s="41">
        <f>IFERROR(C5/B5,0)</f>
        <v/>
      </c>
    </row>
    <row r="6">
      <c r="A6" s="12">
        <f>Movimientos!$J$9</f>
        <v/>
      </c>
      <c r="B6" s="56" t="n">
        <v>700</v>
      </c>
      <c r="C6" s="13">
        <f>Movimientos!$L$9</f>
        <v/>
      </c>
      <c r="D6" s="13">
        <f>B6-C6</f>
        <v/>
      </c>
      <c r="E6" s="41">
        <f>IFERROR(C6/B6,0)</f>
        <v/>
      </c>
    </row>
    <row r="7">
      <c r="A7" s="12">
        <f>Movimientos!$J$10</f>
        <v/>
      </c>
      <c r="B7" s="56" t="n">
        <v>40</v>
      </c>
      <c r="C7" s="13">
        <f>Movimientos!$L$10</f>
        <v/>
      </c>
      <c r="D7" s="13">
        <f>B7-C7</f>
        <v/>
      </c>
      <c r="E7" s="41">
        <f>IFERROR(C7/B7,0)</f>
        <v/>
      </c>
    </row>
    <row r="8">
      <c r="A8" s="12">
        <f>Movimientos!$J$11</f>
        <v/>
      </c>
      <c r="B8" s="56" t="n">
        <v>80</v>
      </c>
      <c r="C8" s="13">
        <f>Movimientos!$L$11</f>
        <v/>
      </c>
      <c r="D8" s="13">
        <f>B8-C8</f>
        <v/>
      </c>
      <c r="E8" s="41">
        <f>IFERROR(C8/B8,0)</f>
        <v/>
      </c>
    </row>
    <row r="9">
      <c r="A9" s="12">
        <f>Movimientos!$J$12</f>
        <v/>
      </c>
      <c r="B9" s="56" t="n">
        <v>100</v>
      </c>
      <c r="C9" s="13">
        <f>Movimientos!$L$12</f>
        <v/>
      </c>
      <c r="D9" s="13">
        <f>B9-C9</f>
        <v/>
      </c>
      <c r="E9" s="41">
        <f>IFERROR(C9/B9,0)</f>
        <v/>
      </c>
    </row>
    <row r="10">
      <c r="A10" s="12">
        <f>Movimientos!$J$13</f>
        <v/>
      </c>
      <c r="B10" s="56" t="n">
        <v>50</v>
      </c>
      <c r="C10" s="13">
        <f>Movimientos!$L$13</f>
        <v/>
      </c>
      <c r="D10" s="13">
        <f>B10-C10</f>
        <v/>
      </c>
      <c r="E10" s="41">
        <f>IFERROR(C10/B10,0)</f>
        <v/>
      </c>
    </row>
    <row r="11">
      <c r="A11" s="30" t="inlineStr">
        <is>
          <t>TOTAL</t>
        </is>
      </c>
      <c r="B11" s="31">
        <f>SUM(B5:B10)</f>
        <v/>
      </c>
      <c r="C11" s="31">
        <f>SUM(C5:C10)</f>
        <v/>
      </c>
      <c r="D11" s="31">
        <f>SUM(D5:D10)</f>
        <v/>
      </c>
      <c r="E11" s="57">
        <f>IFERROR(C11/B11,0)</f>
        <v/>
      </c>
    </row>
    <row r="13">
      <c r="A13" s="32" t="inlineStr">
        <is>
          <t>Ingresos del mes</t>
        </is>
      </c>
      <c r="B13" s="49">
        <f>Movimientos!$L$16</f>
        <v/>
      </c>
    </row>
    <row r="14">
      <c r="A14" s="32" t="inlineStr">
        <is>
          <t>Margen (ingresos − presupuesto)</t>
        </is>
      </c>
      <c r="B14" s="49">
        <f>B13-B11</f>
        <v/>
      </c>
    </row>
    <row r="15">
      <c r="A15" s="32" t="inlineStr">
        <is>
          <t>Objetivo de inversión mensual</t>
        </is>
      </c>
      <c r="B15" s="15" t="n">
        <v>150</v>
      </c>
      <c r="C15" s="9" t="inlineStr">
        <is>
          <t>◀ cuánto quieres invertir al mes (ya no cuenta como gasto)</t>
        </is>
      </c>
    </row>
    <row r="16">
      <c r="A16" s="32" t="inlineStr">
        <is>
          <t>Aportado este mes</t>
        </is>
      </c>
      <c r="B16" s="49">
        <f>Movimientos!$L$20</f>
        <v/>
      </c>
    </row>
    <row r="17">
      <c r="A17" s="32" t="inlineStr">
        <is>
          <t>Pendiente de aportar</t>
        </is>
      </c>
      <c r="B17" s="49">
        <f>MAX(0,B15-B16)</f>
        <v/>
      </c>
    </row>
  </sheetData>
  <mergeCells count="2">
    <mergeCell ref="A2:E2"/>
    <mergeCell ref="A1:E1"/>
  </mergeCells>
  <conditionalFormatting sqref="D5:D10">
    <cfRule type="cellIs" priority="1" operator="lessThan" dxfId="5">
      <formula>0</formula>
    </cfRule>
  </conditionalFormatting>
  <conditionalFormatting sqref="E5:E10">
    <cfRule type="cellIs" priority="2" operator="greaterThan" dxfId="0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7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8" customWidth="1" min="3" max="3"/>
    <col width="16" customWidth="1" min="4" max="4"/>
    <col width="16" customWidth="1" min="5" max="5"/>
    <col width="17" customWidth="1" min="6" max="6"/>
    <col width="17" customWidth="1" min="7" max="7"/>
    <col width="12" customWidth="1" min="8" max="8"/>
    <col width="17" customWidth="1" min="9" max="9"/>
    <col width="3" customWidth="1" min="10" max="10"/>
    <col width="26" customWidth="1" min="11" max="11"/>
    <col width="18" customWidth="1" min="12" max="12"/>
    <col width="17" customWidth="1" min="13" max="13"/>
    <col width="14" customWidth="1" min="14" max="14"/>
  </cols>
  <sheetData>
    <row r="1">
      <c r="A1" s="1" t="inlineStr">
        <is>
          <t>CARTERA DE INVERSIÓN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K1" s="1" t="inlineStr">
        <is>
          <t>HISTÓRICO DE LA CARTERA</t>
        </is>
      </c>
      <c r="L1" s="1" t="n"/>
      <c r="M1" s="1" t="n"/>
      <c r="N1" s="1" t="n"/>
    </row>
    <row r="2" ht="26" customHeight="1">
      <c r="A2" s="58" t="inlineStr">
        <is>
          <t>Tres formas distintas de que entre dinero en la cartera, y solo una de ellas es rentabilidad. Las tres se suman en TOTAL APORTADO.</t>
        </is>
      </c>
      <c r="K2" s="58" t="inlineStr">
        <is>
          <t>Cada cierto tiempo (p. ej. a fin de mes) apunta la fecha y lo que vale la cartera entera. El aportado se calcula solo.</t>
        </is>
      </c>
    </row>
    <row r="3">
      <c r="A3" s="59" t="inlineStr">
        <is>
          <t>GENERADO POR EL MERCADO = Valor de mercado − Total aportado. Ni lo que metes tú ni el cashback cuentan nunca como ganancia de la inversión.</t>
        </is>
      </c>
    </row>
    <row r="5" ht="32" customHeight="1">
      <c r="A5" s="60" t="inlineStr">
        <is>
          <t>ACTIVO</t>
        </is>
      </c>
      <c r="B5" s="60" t="inlineStr">
        <is>
          <t>1· APORTACIÓN INICIAL</t>
        </is>
      </c>
      <c r="C5" s="60" t="inlineStr">
        <is>
          <t>2· APORTADO DEL BANCO</t>
        </is>
      </c>
      <c r="D5" s="60" t="inlineStr">
        <is>
          <t>3· APORTADO GRATIS</t>
        </is>
      </c>
      <c r="E5" s="60" t="inlineStr">
        <is>
          <t>TOTAL APORTADO</t>
        </is>
      </c>
      <c r="F5" s="60" t="inlineStr">
        <is>
          <t>VALOR DE MERCADO</t>
        </is>
      </c>
      <c r="G5" s="60" t="inlineStr">
        <is>
          <t>GENERADO POR EL MERCADO</t>
        </is>
      </c>
      <c r="H5" s="60" t="inlineStr">
        <is>
          <t>RENTAB. %</t>
        </is>
      </c>
      <c r="I5" s="60" t="inlineStr">
        <is>
          <t>ÚLTIMA VALORACIÓN</t>
        </is>
      </c>
      <c r="K5" s="60" t="inlineStr">
        <is>
          <t>FECHA</t>
        </is>
      </c>
      <c r="L5" s="60" t="inlineStr">
        <is>
          <t>APORTADO ACUMULADO</t>
        </is>
      </c>
      <c r="M5" s="60" t="inlineStr">
        <is>
          <t>VALOR DE MERCADO</t>
        </is>
      </c>
      <c r="N5" s="60" t="inlineStr">
        <is>
          <t>GENERADO</t>
        </is>
      </c>
    </row>
    <row r="6">
      <c r="A6" s="61" t="inlineStr">
        <is>
          <t>Fondo indexado</t>
        </is>
      </c>
      <c r="B6" s="56" t="n">
        <v>100</v>
      </c>
      <c r="C6" s="13">
        <f>IF($A6="","",SUMIFS(Movimientos!$F$2:$F$501,Movimientos!$D$2:$D$501,Movimientos!$J$14,Movimientos!$H$2:$H$501,$A6))</f>
        <v/>
      </c>
      <c r="D6" s="13">
        <f>IF($A6="","",SUMIFS($D$37:$D$96,$B$37:$B$96,$A6))</f>
        <v/>
      </c>
      <c r="E6" s="27">
        <f>IF($A6="","",$B6+$C6+$D6)</f>
        <v/>
      </c>
      <c r="F6" s="56" t="n">
        <v>265</v>
      </c>
      <c r="G6" s="13">
        <f>IF($A6="","",$F6-$E6)</f>
        <v/>
      </c>
      <c r="H6" s="41">
        <f>IF(OR($A6="",$E6=0),"",$G6/$E6)</f>
        <v/>
      </c>
      <c r="I6" s="62" t="n">
        <v>46265</v>
      </c>
      <c r="K6" s="62" t="n">
        <v>46265</v>
      </c>
      <c r="L6" s="13">
        <f>IF($K6="","",$B$16+SUMIFS(Movimientos!$F$2:$F$501,Movimientos!$D$2:$D$501,Movimientos!$J$14,Movimientos!$A$2:$A$501,"&lt;="&amp;$K6)+SUMIFS($D$37:$D$96,$A$37:$A$96,"&lt;="&amp;$K6))</f>
        <v/>
      </c>
      <c r="M6" s="56" t="n">
        <v>265</v>
      </c>
      <c r="N6" s="13">
        <f>IF($K6="","",$M6-$L6)</f>
        <v/>
      </c>
    </row>
    <row r="7">
      <c r="A7" s="61" t="n"/>
      <c r="B7" s="56" t="n"/>
      <c r="C7" s="13">
        <f>IF($A7="","",SUMIFS(Movimientos!$F$2:$F$501,Movimientos!$D$2:$D$501,Movimientos!$J$14,Movimientos!$H$2:$H$501,$A7))</f>
        <v/>
      </c>
      <c r="D7" s="13">
        <f>IF($A7="","",SUMIFS($D$37:$D$96,$B$37:$B$96,$A7))</f>
        <v/>
      </c>
      <c r="E7" s="27">
        <f>IF($A7="","",$B7+$C7+$D7)</f>
        <v/>
      </c>
      <c r="F7" s="56" t="n"/>
      <c r="G7" s="13">
        <f>IF($A7="","",$F7-$E7)</f>
        <v/>
      </c>
      <c r="H7" s="41">
        <f>IF(OR($A7="",$E7=0),"",$G7/$E7)</f>
        <v/>
      </c>
      <c r="I7" s="62" t="n"/>
      <c r="K7" s="62" t="n"/>
      <c r="L7" s="13">
        <f>IF($K7="","",$B$16+SUMIFS(Movimientos!$F$2:$F$501,Movimientos!$D$2:$D$501,Movimientos!$J$14,Movimientos!$A$2:$A$501,"&lt;="&amp;$K7)+SUMIFS($D$37:$D$96,$A$37:$A$96,"&lt;="&amp;$K7))</f>
        <v/>
      </c>
      <c r="M7" s="56" t="n"/>
      <c r="N7" s="13">
        <f>IF($K7="","",$M7-$L7)</f>
        <v/>
      </c>
    </row>
    <row r="8">
      <c r="A8" s="61" t="n"/>
      <c r="B8" s="56" t="n"/>
      <c r="C8" s="13">
        <f>IF($A8="","",SUMIFS(Movimientos!$F$2:$F$501,Movimientos!$D$2:$D$501,Movimientos!$J$14,Movimientos!$H$2:$H$501,$A8))</f>
        <v/>
      </c>
      <c r="D8" s="13">
        <f>IF($A8="","",SUMIFS($D$37:$D$96,$B$37:$B$96,$A8))</f>
        <v/>
      </c>
      <c r="E8" s="27">
        <f>IF($A8="","",$B8+$C8+$D8)</f>
        <v/>
      </c>
      <c r="F8" s="56" t="n"/>
      <c r="G8" s="13">
        <f>IF($A8="","",$F8-$E8)</f>
        <v/>
      </c>
      <c r="H8" s="41">
        <f>IF(OR($A8="",$E8=0),"",$G8/$E8)</f>
        <v/>
      </c>
      <c r="I8" s="62" t="n"/>
      <c r="K8" s="62" t="n"/>
      <c r="L8" s="13">
        <f>IF($K8="","",$B$16+SUMIFS(Movimientos!$F$2:$F$501,Movimientos!$D$2:$D$501,Movimientos!$J$14,Movimientos!$A$2:$A$501,"&lt;="&amp;$K8)+SUMIFS($D$37:$D$96,$A$37:$A$96,"&lt;="&amp;$K8))</f>
        <v/>
      </c>
      <c r="M8" s="56" t="n"/>
      <c r="N8" s="13">
        <f>IF($K8="","",$M8-$L8)</f>
        <v/>
      </c>
    </row>
    <row r="9">
      <c r="A9" s="61" t="n"/>
      <c r="B9" s="56" t="n"/>
      <c r="C9" s="13">
        <f>IF($A9="","",SUMIFS(Movimientos!$F$2:$F$501,Movimientos!$D$2:$D$501,Movimientos!$J$14,Movimientos!$H$2:$H$501,$A9))</f>
        <v/>
      </c>
      <c r="D9" s="13">
        <f>IF($A9="","",SUMIFS($D$37:$D$96,$B$37:$B$96,$A9))</f>
        <v/>
      </c>
      <c r="E9" s="27">
        <f>IF($A9="","",$B9+$C9+$D9)</f>
        <v/>
      </c>
      <c r="F9" s="56" t="n"/>
      <c r="G9" s="13">
        <f>IF($A9="","",$F9-$E9)</f>
        <v/>
      </c>
      <c r="H9" s="41">
        <f>IF(OR($A9="",$E9=0),"",$G9/$E9)</f>
        <v/>
      </c>
      <c r="I9" s="62" t="n"/>
      <c r="K9" s="62" t="n"/>
      <c r="L9" s="13">
        <f>IF($K9="","",$B$16+SUMIFS(Movimientos!$F$2:$F$501,Movimientos!$D$2:$D$501,Movimientos!$J$14,Movimientos!$A$2:$A$501,"&lt;="&amp;$K9)+SUMIFS($D$37:$D$96,$A$37:$A$96,"&lt;="&amp;$K9))</f>
        <v/>
      </c>
      <c r="M9" s="56" t="n"/>
      <c r="N9" s="13">
        <f>IF($K9="","",$M9-$L9)</f>
        <v/>
      </c>
    </row>
    <row r="10">
      <c r="A10" s="61" t="n"/>
      <c r="B10" s="56" t="n"/>
      <c r="C10" s="13">
        <f>IF($A10="","",SUMIFS(Movimientos!$F$2:$F$501,Movimientos!$D$2:$D$501,Movimientos!$J$14,Movimientos!$H$2:$H$501,$A10))</f>
        <v/>
      </c>
      <c r="D10" s="13">
        <f>IF($A10="","",SUMIFS($D$37:$D$96,$B$37:$B$96,$A10))</f>
        <v/>
      </c>
      <c r="E10" s="27">
        <f>IF($A10="","",$B10+$C10+$D10)</f>
        <v/>
      </c>
      <c r="F10" s="56" t="n"/>
      <c r="G10" s="13">
        <f>IF($A10="","",$F10-$E10)</f>
        <v/>
      </c>
      <c r="H10" s="41">
        <f>IF(OR($A10="",$E10=0),"",$G10/$E10)</f>
        <v/>
      </c>
      <c r="I10" s="62" t="n"/>
      <c r="K10" s="62" t="n"/>
      <c r="L10" s="13">
        <f>IF($K10="","",$B$16+SUMIFS(Movimientos!$F$2:$F$501,Movimientos!$D$2:$D$501,Movimientos!$J$14,Movimientos!$A$2:$A$501,"&lt;="&amp;$K10)+SUMIFS($D$37:$D$96,$A$37:$A$96,"&lt;="&amp;$K10))</f>
        <v/>
      </c>
      <c r="M10" s="56" t="n"/>
      <c r="N10" s="13">
        <f>IF($K10="","",$M10-$L10)</f>
        <v/>
      </c>
    </row>
    <row r="11">
      <c r="A11" s="61" t="n"/>
      <c r="B11" s="56" t="n"/>
      <c r="C11" s="13">
        <f>IF($A11="","",SUMIFS(Movimientos!$F$2:$F$501,Movimientos!$D$2:$D$501,Movimientos!$J$14,Movimientos!$H$2:$H$501,$A11))</f>
        <v/>
      </c>
      <c r="D11" s="13">
        <f>IF($A11="","",SUMIFS($D$37:$D$96,$B$37:$B$96,$A11))</f>
        <v/>
      </c>
      <c r="E11" s="27">
        <f>IF($A11="","",$B11+$C11+$D11)</f>
        <v/>
      </c>
      <c r="F11" s="56" t="n"/>
      <c r="G11" s="13">
        <f>IF($A11="","",$F11-$E11)</f>
        <v/>
      </c>
      <c r="H11" s="41">
        <f>IF(OR($A11="",$E11=0),"",$G11/$E11)</f>
        <v/>
      </c>
      <c r="I11" s="62" t="n"/>
      <c r="K11" s="62" t="n"/>
      <c r="L11" s="13">
        <f>IF($K11="","",$B$16+SUMIFS(Movimientos!$F$2:$F$501,Movimientos!$D$2:$D$501,Movimientos!$J$14,Movimientos!$A$2:$A$501,"&lt;="&amp;$K11)+SUMIFS($D$37:$D$96,$A$37:$A$96,"&lt;="&amp;$K11))</f>
        <v/>
      </c>
      <c r="M11" s="56" t="n"/>
      <c r="N11" s="13">
        <f>IF($K11="","",$M11-$L11)</f>
        <v/>
      </c>
    </row>
    <row r="12">
      <c r="A12" s="61" t="n"/>
      <c r="B12" s="56" t="n"/>
      <c r="C12" s="13">
        <f>IF($A12="","",SUMIFS(Movimientos!$F$2:$F$501,Movimientos!$D$2:$D$501,Movimientos!$J$14,Movimientos!$H$2:$H$501,$A12))</f>
        <v/>
      </c>
      <c r="D12" s="13">
        <f>IF($A12="","",SUMIFS($D$37:$D$96,$B$37:$B$96,$A12))</f>
        <v/>
      </c>
      <c r="E12" s="27">
        <f>IF($A12="","",$B12+$C12+$D12)</f>
        <v/>
      </c>
      <c r="F12" s="56" t="n"/>
      <c r="G12" s="13">
        <f>IF($A12="","",$F12-$E12)</f>
        <v/>
      </c>
      <c r="H12" s="41">
        <f>IF(OR($A12="",$E12=0),"",$G12/$E12)</f>
        <v/>
      </c>
      <c r="I12" s="62" t="n"/>
      <c r="K12" s="62" t="n"/>
      <c r="L12" s="13">
        <f>IF($K12="","",$B$16+SUMIFS(Movimientos!$F$2:$F$501,Movimientos!$D$2:$D$501,Movimientos!$J$14,Movimientos!$A$2:$A$501,"&lt;="&amp;$K12)+SUMIFS($D$37:$D$96,$A$37:$A$96,"&lt;="&amp;$K12))</f>
        <v/>
      </c>
      <c r="M12" s="56" t="n"/>
      <c r="N12" s="13">
        <f>IF($K12="","",$M12-$L12)</f>
        <v/>
      </c>
    </row>
    <row r="13">
      <c r="A13" s="61" t="n"/>
      <c r="B13" s="56" t="n"/>
      <c r="C13" s="13">
        <f>IF($A13="","",SUMIFS(Movimientos!$F$2:$F$501,Movimientos!$D$2:$D$501,Movimientos!$J$14,Movimientos!$H$2:$H$501,$A13))</f>
        <v/>
      </c>
      <c r="D13" s="13">
        <f>IF($A13="","",SUMIFS($D$37:$D$96,$B$37:$B$96,$A13))</f>
        <v/>
      </c>
      <c r="E13" s="27">
        <f>IF($A13="","",$B13+$C13+$D13)</f>
        <v/>
      </c>
      <c r="F13" s="56" t="n"/>
      <c r="G13" s="13">
        <f>IF($A13="","",$F13-$E13)</f>
        <v/>
      </c>
      <c r="H13" s="41">
        <f>IF(OR($A13="",$E13=0),"",$G13/$E13)</f>
        <v/>
      </c>
      <c r="I13" s="62" t="n"/>
      <c r="K13" s="62" t="n"/>
      <c r="L13" s="13">
        <f>IF($K13="","",$B$16+SUMIFS(Movimientos!$F$2:$F$501,Movimientos!$D$2:$D$501,Movimientos!$J$14,Movimientos!$A$2:$A$501,"&lt;="&amp;$K13)+SUMIFS($D$37:$D$96,$A$37:$A$96,"&lt;="&amp;$K13))</f>
        <v/>
      </c>
      <c r="M13" s="56" t="n"/>
      <c r="N13" s="13">
        <f>IF($K13="","",$M13-$L13)</f>
        <v/>
      </c>
    </row>
    <row r="14">
      <c r="A14" s="61" t="n"/>
      <c r="B14" s="56" t="n"/>
      <c r="C14" s="13">
        <f>IF($A14="","",SUMIFS(Movimientos!$F$2:$F$501,Movimientos!$D$2:$D$501,Movimientos!$J$14,Movimientos!$H$2:$H$501,$A14))</f>
        <v/>
      </c>
      <c r="D14" s="13">
        <f>IF($A14="","",SUMIFS($D$37:$D$96,$B$37:$B$96,$A14))</f>
        <v/>
      </c>
      <c r="E14" s="27">
        <f>IF($A14="","",$B14+$C14+$D14)</f>
        <v/>
      </c>
      <c r="F14" s="56" t="n"/>
      <c r="G14" s="13">
        <f>IF($A14="","",$F14-$E14)</f>
        <v/>
      </c>
      <c r="H14" s="41">
        <f>IF(OR($A14="",$E14=0),"",$G14/$E14)</f>
        <v/>
      </c>
      <c r="I14" s="62" t="n"/>
      <c r="K14" s="62" t="n"/>
      <c r="L14" s="13">
        <f>IF($K14="","",$B$16+SUMIFS(Movimientos!$F$2:$F$501,Movimientos!$D$2:$D$501,Movimientos!$J$14,Movimientos!$A$2:$A$501,"&lt;="&amp;$K14)+SUMIFS($D$37:$D$96,$A$37:$A$96,"&lt;="&amp;$K14))</f>
        <v/>
      </c>
      <c r="M14" s="56" t="n"/>
      <c r="N14" s="13">
        <f>IF($K14="","",$M14-$L14)</f>
        <v/>
      </c>
    </row>
    <row r="15">
      <c r="A15" s="61" t="n"/>
      <c r="B15" s="56" t="n"/>
      <c r="C15" s="13">
        <f>IF($A15="","",SUMIFS(Movimientos!$F$2:$F$501,Movimientos!$D$2:$D$501,Movimientos!$J$14,Movimientos!$H$2:$H$501,$A15))</f>
        <v/>
      </c>
      <c r="D15" s="13">
        <f>IF($A15="","",SUMIFS($D$37:$D$96,$B$37:$B$96,$A15))</f>
        <v/>
      </c>
      <c r="E15" s="27">
        <f>IF($A15="","",$B15+$C15+$D15)</f>
        <v/>
      </c>
      <c r="F15" s="56" t="n"/>
      <c r="G15" s="13">
        <f>IF($A15="","",$F15-$E15)</f>
        <v/>
      </c>
      <c r="H15" s="41">
        <f>IF(OR($A15="",$E15=0),"",$G15/$E15)</f>
        <v/>
      </c>
      <c r="I15" s="62" t="n"/>
      <c r="K15" s="62" t="n"/>
      <c r="L15" s="13">
        <f>IF($K15="","",$B$16+SUMIFS(Movimientos!$F$2:$F$501,Movimientos!$D$2:$D$501,Movimientos!$J$14,Movimientos!$A$2:$A$501,"&lt;="&amp;$K15)+SUMIFS($D$37:$D$96,$A$37:$A$96,"&lt;="&amp;$K15))</f>
        <v/>
      </c>
      <c r="M15" s="56" t="n"/>
      <c r="N15" s="13">
        <f>IF($K15="","",$M15-$L15)</f>
        <v/>
      </c>
    </row>
    <row r="16">
      <c r="A16" s="30" t="inlineStr">
        <is>
          <t>TOTAL CARTERA</t>
        </is>
      </c>
      <c r="B16" s="31">
        <f>SUM(B6:B15)</f>
        <v/>
      </c>
      <c r="C16" s="31">
        <f>SUM(C6:C15)</f>
        <v/>
      </c>
      <c r="D16" s="31">
        <f>SUM(D6:D15)</f>
        <v/>
      </c>
      <c r="E16" s="31">
        <f>SUM(E6:E15)</f>
        <v/>
      </c>
      <c r="F16" s="31">
        <f>SUM(F6:F15)</f>
        <v/>
      </c>
      <c r="G16" s="31">
        <f>F16-E16</f>
        <v/>
      </c>
      <c r="H16" s="57">
        <f>IFERROR(G16/E16,0)</f>
        <v/>
      </c>
      <c r="I16" s="30" t="n"/>
      <c r="K16" s="62" t="n"/>
      <c r="L16" s="13">
        <f>IF($K16="","",$B$16+SUMIFS(Movimientos!$F$2:$F$501,Movimientos!$D$2:$D$501,Movimientos!$J$14,Movimientos!$A$2:$A$501,"&lt;="&amp;$K16)+SUMIFS($D$37:$D$96,$A$37:$A$96,"&lt;="&amp;$K16))</f>
        <v/>
      </c>
      <c r="M16" s="56" t="n"/>
      <c r="N16" s="13">
        <f>IF($K16="","",$M16-$L16)</f>
        <v/>
      </c>
    </row>
    <row r="17">
      <c r="K17" s="62" t="n"/>
      <c r="L17" s="13">
        <f>IF($K17="","",$B$16+SUMIFS(Movimientos!$F$2:$F$501,Movimientos!$D$2:$D$501,Movimientos!$J$14,Movimientos!$A$2:$A$501,"&lt;="&amp;$K17)+SUMIFS($D$37:$D$96,$A$37:$A$96,"&lt;="&amp;$K17))</f>
        <v/>
      </c>
      <c r="M17" s="56" t="n"/>
      <c r="N17" s="13">
        <f>IF($K17="","",$M17-$L17)</f>
        <v/>
      </c>
    </row>
    <row r="18">
      <c r="A18" s="32" t="inlineStr">
        <is>
          <t>Aportado del banco sin asignar a un activo</t>
        </is>
      </c>
      <c r="B18" s="49">
        <f>SUMIFS(Movimientos!$F$2:$F$501,Movimientos!$D$2:$D$501,Movimientos!$J$14)-C16</f>
        <v/>
      </c>
      <c r="C18" s="63" t="inlineStr">
        <is>
          <t>◀ si no es 0, rellena la columna «Activo» en Movimientos</t>
        </is>
      </c>
      <c r="K18" s="62" t="n"/>
      <c r="L18" s="13">
        <f>IF($K18="","",$B$16+SUMIFS(Movimientos!$F$2:$F$501,Movimientos!$D$2:$D$501,Movimientos!$J$14,Movimientos!$A$2:$A$501,"&lt;="&amp;$K18)+SUMIFS($D$37:$D$96,$A$37:$A$96,"&lt;="&amp;$K18))</f>
        <v/>
      </c>
      <c r="M18" s="56" t="n"/>
      <c r="N18" s="13">
        <f>IF($K18="","",$M18-$L18)</f>
        <v/>
      </c>
    </row>
    <row r="19">
      <c r="A19" s="32" t="inlineStr">
        <is>
          <t>Cashback sin asignar a un activo</t>
        </is>
      </c>
      <c r="B19" s="49">
        <f>SUM($D$37:$D$96)-D16</f>
        <v/>
      </c>
      <c r="C19" s="63" t="inlineStr">
        <is>
          <t>◀ si no es 0, rellena la columna «Activo» del registro de abajo</t>
        </is>
      </c>
      <c r="K19" s="62" t="n"/>
      <c r="L19" s="13">
        <f>IF($K19="","",$B$16+SUMIFS(Movimientos!$F$2:$F$501,Movimientos!$D$2:$D$501,Movimientos!$J$14,Movimientos!$A$2:$A$501,"&lt;="&amp;$K19)+SUMIFS($D$37:$D$96,$A$37:$A$96,"&lt;="&amp;$K19))</f>
        <v/>
      </c>
      <c r="M19" s="56" t="n"/>
      <c r="N19" s="13">
        <f>IF($K19="","",$M19-$L19)</f>
        <v/>
      </c>
    </row>
    <row r="20">
      <c r="K20" s="62" t="n"/>
      <c r="L20" s="13">
        <f>IF($K20="","",$B$16+SUMIFS(Movimientos!$F$2:$F$501,Movimientos!$D$2:$D$501,Movimientos!$J$14,Movimientos!$A$2:$A$501,"&lt;="&amp;$K20)+SUMIFS($D$37:$D$96,$A$37:$A$96,"&lt;="&amp;$K20))</f>
        <v/>
      </c>
      <c r="M20" s="56" t="n"/>
      <c r="N20" s="13">
        <f>IF($K20="","",$M20-$L20)</f>
        <v/>
      </c>
    </row>
    <row r="21">
      <c r="A21" s="16" t="inlineStr">
        <is>
          <t>INDICADOR</t>
        </is>
      </c>
      <c r="B21" s="16" t="inlineStr">
        <is>
          <t>VALOR</t>
        </is>
      </c>
      <c r="K21" s="62" t="n"/>
      <c r="L21" s="13">
        <f>IF($K21="","",$B$16+SUMIFS(Movimientos!$F$2:$F$501,Movimientos!$D$2:$D$501,Movimientos!$J$14,Movimientos!$A$2:$A$501,"&lt;="&amp;$K21)+SUMIFS($D$37:$D$96,$A$37:$A$96,"&lt;="&amp;$K21))</f>
        <v/>
      </c>
      <c r="M21" s="56" t="n"/>
      <c r="N21" s="13">
        <f>IF($K21="","",$M21-$L21)</f>
        <v/>
      </c>
    </row>
    <row r="22">
      <c r="A22" s="12" t="inlineStr">
        <is>
          <t>1· Aportación inicial (antes del registro)</t>
        </is>
      </c>
      <c r="B22" s="49">
        <f>B16</f>
        <v/>
      </c>
      <c r="K22" s="62" t="n"/>
      <c r="L22" s="13">
        <f>IF($K22="","",$B$16+SUMIFS(Movimientos!$F$2:$F$501,Movimientos!$D$2:$D$501,Movimientos!$J$14,Movimientos!$A$2:$A$501,"&lt;="&amp;$K22)+SUMIFS($D$37:$D$96,$A$37:$A$96,"&lt;="&amp;$K22))</f>
        <v/>
      </c>
      <c r="M22" s="56" t="n"/>
      <c r="N22" s="13">
        <f>IF($K22="","",$M22-$L22)</f>
        <v/>
      </c>
    </row>
    <row r="23">
      <c r="A23" s="12" t="inlineStr">
        <is>
          <t>2· Aportado desde el banco</t>
        </is>
      </c>
      <c r="B23" s="49">
        <f>C16</f>
        <v/>
      </c>
      <c r="K23" s="62" t="n"/>
      <c r="L23" s="13">
        <f>IF($K23="","",$B$16+SUMIFS(Movimientos!$F$2:$F$501,Movimientos!$D$2:$D$501,Movimientos!$J$14,Movimientos!$A$2:$A$501,"&lt;="&amp;$K23)+SUMIFS($D$37:$D$96,$A$37:$A$96,"&lt;="&amp;$K23))</f>
        <v/>
      </c>
      <c r="M23" s="56" t="n"/>
      <c r="N23" s="13">
        <f>IF($K23="","",$M23-$L23)</f>
        <v/>
      </c>
    </row>
    <row r="24">
      <c r="A24" s="12" t="inlineStr">
        <is>
          <t>3· Aportado gratis (cashback y promos)</t>
        </is>
      </c>
      <c r="B24" s="49">
        <f>D16</f>
        <v/>
      </c>
      <c r="K24" s="62" t="n"/>
      <c r="L24" s="13">
        <f>IF($K24="","",$B$16+SUMIFS(Movimientos!$F$2:$F$501,Movimientos!$D$2:$D$501,Movimientos!$J$14,Movimientos!$A$2:$A$501,"&lt;="&amp;$K24)+SUMIFS($D$37:$D$96,$A$37:$A$96,"&lt;="&amp;$K24))</f>
        <v/>
      </c>
      <c r="M24" s="56" t="n"/>
      <c r="N24" s="13">
        <f>IF($K24="","",$M24-$L24)</f>
        <v/>
      </c>
    </row>
    <row r="25">
      <c r="A25" s="53" t="inlineStr">
        <is>
          <t>TOTAL APORTADO (1+2+3)</t>
        </is>
      </c>
      <c r="B25" s="54">
        <f>E16</f>
        <v/>
      </c>
      <c r="K25" s="62" t="n"/>
      <c r="L25" s="13">
        <f>IF($K25="","",$B$16+SUMIFS(Movimientos!$F$2:$F$501,Movimientos!$D$2:$D$501,Movimientos!$J$14,Movimientos!$A$2:$A$501,"&lt;="&amp;$K25)+SUMIFS($D$37:$D$96,$A$37:$A$96,"&lt;="&amp;$K25))</f>
        <v/>
      </c>
      <c r="M25" s="56" t="n"/>
      <c r="N25" s="13">
        <f>IF($K25="","",$M25-$L25)</f>
        <v/>
      </c>
    </row>
    <row r="26">
      <c r="A26" s="53" t="inlineStr">
        <is>
          <t>Valor de mercado hoy</t>
        </is>
      </c>
      <c r="B26" s="54">
        <f>F16</f>
        <v/>
      </c>
      <c r="K26" s="62" t="n"/>
      <c r="L26" s="13">
        <f>IF($K26="","",$B$16+SUMIFS(Movimientos!$F$2:$F$501,Movimientos!$D$2:$D$501,Movimientos!$J$14,Movimientos!$A$2:$A$501,"&lt;="&amp;$K26)+SUMIFS($D$37:$D$96,$A$37:$A$96,"&lt;="&amp;$K26))</f>
        <v/>
      </c>
      <c r="M26" s="56" t="n"/>
      <c r="N26" s="13">
        <f>IF($K26="","",$M26-$L26)</f>
        <v/>
      </c>
    </row>
    <row r="27">
      <c r="A27" s="47" t="inlineStr">
        <is>
          <t>GENERADO POR EL MERCADO</t>
        </is>
      </c>
      <c r="B27" s="48">
        <f>G16</f>
        <v/>
      </c>
      <c r="K27" s="62" t="n"/>
      <c r="L27" s="13">
        <f>IF($K27="","",$B$16+SUMIFS(Movimientos!$F$2:$F$501,Movimientos!$D$2:$D$501,Movimientos!$J$14,Movimientos!$A$2:$A$501,"&lt;="&amp;$K27)+SUMIFS($D$37:$D$96,$A$37:$A$96,"&lt;="&amp;$K27))</f>
        <v/>
      </c>
      <c r="M27" s="56" t="n"/>
      <c r="N27" s="13">
        <f>IF($K27="","",$M27-$L27)</f>
        <v/>
      </c>
    </row>
    <row r="28">
      <c r="A28" s="47" t="inlineStr">
        <is>
          <t>Rentabilidad del mercado</t>
        </is>
      </c>
      <c r="B28" s="64">
        <f>H16</f>
        <v/>
      </c>
      <c r="K28" s="62" t="n"/>
      <c r="L28" s="13">
        <f>IF($K28="","",$B$16+SUMIFS(Movimientos!$F$2:$F$501,Movimientos!$D$2:$D$501,Movimientos!$J$14,Movimientos!$A$2:$A$501,"&lt;="&amp;$K28)+SUMIFS($D$37:$D$96,$A$37:$A$96,"&lt;="&amp;$K28))</f>
        <v/>
      </c>
      <c r="M28" s="56" t="n"/>
      <c r="N28" s="13">
        <f>IF($K28="","",$M28-$L28)</f>
        <v/>
      </c>
    </row>
    <row r="29">
      <c r="A29" s="65" t="inlineStr">
        <is>
          <t>Ganado sin poner dinero (mercado + gratis)</t>
        </is>
      </c>
      <c r="B29" s="66">
        <f>G16+D16</f>
        <v/>
      </c>
      <c r="K29" s="62" t="n"/>
      <c r="L29" s="13">
        <f>IF($K29="","",$B$16+SUMIFS(Movimientos!$F$2:$F$501,Movimientos!$D$2:$D$501,Movimientos!$J$14,Movimientos!$A$2:$A$501,"&lt;="&amp;$K29)+SUMIFS($D$37:$D$96,$A$37:$A$96,"&lt;="&amp;$K29))</f>
        <v/>
      </c>
      <c r="M29" s="56" t="n"/>
      <c r="N29" s="13">
        <f>IF($K29="","",$M29-$L29)</f>
        <v/>
      </c>
    </row>
    <row r="30">
      <c r="A30" s="12" t="inlineStr">
        <is>
          <t>Aportado del banco este año</t>
        </is>
      </c>
      <c r="B30" s="49">
        <f>SUMIF(Movimientos!$K$6:$K$14,"Inversión",Movimientos!$M$6:$M$14)</f>
        <v/>
      </c>
      <c r="K30" s="62" t="n"/>
      <c r="L30" s="13">
        <f>IF($K30="","",$B$16+SUMIFS(Movimientos!$F$2:$F$501,Movimientos!$D$2:$D$501,Movimientos!$J$14,Movimientos!$A$2:$A$501,"&lt;="&amp;$K30)+SUMIFS($D$37:$D$96,$A$37:$A$96,"&lt;="&amp;$K30))</f>
        <v/>
      </c>
      <c r="M30" s="56" t="n"/>
      <c r="N30" s="13">
        <f>IF($K30="","",$M30-$L30)</f>
        <v/>
      </c>
    </row>
    <row r="31">
      <c r="A31" s="12" t="inlineStr">
        <is>
          <t>Aportado del banco el mes activo</t>
        </is>
      </c>
      <c r="B31" s="49">
        <f>SUMIF(Movimientos!$K$6:$K$14,"Inversión",Movimientos!$L$6:$L$14)</f>
        <v/>
      </c>
      <c r="K31" s="62" t="n"/>
      <c r="L31" s="13">
        <f>IF($K31="","",$B$16+SUMIFS(Movimientos!$F$2:$F$501,Movimientos!$D$2:$D$501,Movimientos!$J$14,Movimientos!$A$2:$A$501,"&lt;="&amp;$K31)+SUMIFS($D$37:$D$96,$A$37:$A$96,"&lt;="&amp;$K31))</f>
        <v/>
      </c>
      <c r="M31" s="56" t="n"/>
      <c r="N31" s="13">
        <f>IF($K31="","",$M31-$L31)</f>
        <v/>
      </c>
    </row>
    <row r="32">
      <c r="K32" s="62" t="n"/>
      <c r="L32" s="13">
        <f>IF($K32="","",$B$16+SUMIFS(Movimientos!$F$2:$F$501,Movimientos!$D$2:$D$501,Movimientos!$J$14,Movimientos!$A$2:$A$501,"&lt;="&amp;$K32)+SUMIFS($D$37:$D$96,$A$37:$A$96,"&lt;="&amp;$K32))</f>
        <v/>
      </c>
      <c r="M32" s="56" t="n"/>
      <c r="N32" s="13">
        <f>IF($K32="","",$M32-$L32)</f>
        <v/>
      </c>
    </row>
    <row r="33">
      <c r="K33" s="62" t="n"/>
      <c r="L33" s="13">
        <f>IF($K33="","",$B$16+SUMIFS(Movimientos!$F$2:$F$501,Movimientos!$D$2:$D$501,Movimientos!$J$14,Movimientos!$A$2:$A$501,"&lt;="&amp;$K33)+SUMIFS($D$37:$D$96,$A$37:$A$96,"&lt;="&amp;$K33))</f>
        <v/>
      </c>
      <c r="M33" s="56" t="n"/>
      <c r="N33" s="13">
        <f>IF($K33="","",$M33-$L33)</f>
        <v/>
      </c>
    </row>
    <row r="34">
      <c r="A34" s="1" t="inlineStr">
        <is>
          <t>APORTACIONES GRATIS  ·  cashback, % de tarjeta, redondeos, promos</t>
        </is>
      </c>
      <c r="B34" s="1" t="n"/>
      <c r="C34" s="1" t="n"/>
      <c r="D34" s="1" t="n"/>
      <c r="K34" s="62" t="n"/>
      <c r="L34" s="13">
        <f>IF($K34="","",$B$16+SUMIFS(Movimientos!$F$2:$F$501,Movimientos!$D$2:$D$501,Movimientos!$J$14,Movimientos!$A$2:$A$501,"&lt;="&amp;$K34)+SUMIFS($D$37:$D$96,$A$37:$A$96,"&lt;="&amp;$K34))</f>
        <v/>
      </c>
      <c r="M34" s="56" t="n"/>
      <c r="N34" s="13">
        <f>IF($K34="","",$M34-$L34)</f>
        <v/>
      </c>
    </row>
    <row r="35">
      <c r="A35" s="58" t="inlineStr">
        <is>
          <t>Dinero que entra en la cartera sin salir de tu cuenta. No es un ingreso ni un gasto: no toques Movimientos por esto.</t>
        </is>
      </c>
      <c r="K35" s="62" t="n"/>
      <c r="L35" s="13">
        <f>IF($K35="","",$B$16+SUMIFS(Movimientos!$F$2:$F$501,Movimientos!$D$2:$D$501,Movimientos!$J$14,Movimientos!$A$2:$A$501,"&lt;="&amp;$K35)+SUMIFS($D$37:$D$96,$A$37:$A$96,"&lt;="&amp;$K35))</f>
        <v/>
      </c>
      <c r="M35" s="56" t="n"/>
      <c r="N35" s="13">
        <f>IF($K35="","",$M35-$L35)</f>
        <v/>
      </c>
    </row>
    <row r="36">
      <c r="A36" s="16" t="inlineStr">
        <is>
          <t>FECHA</t>
        </is>
      </c>
      <c r="B36" s="16" t="inlineStr">
        <is>
          <t>ACTIVO</t>
        </is>
      </c>
      <c r="C36" s="16" t="inlineStr">
        <is>
          <t>CONCEPTO</t>
        </is>
      </c>
      <c r="D36" s="16" t="inlineStr">
        <is>
          <t>IMPORTE</t>
        </is>
      </c>
      <c r="F36" s="16" t="inlineStr">
        <is>
          <t>REGLA DE CASHBACK (solo referencia)</t>
        </is>
      </c>
      <c r="G36" s="16" t="n"/>
      <c r="K36" s="62" t="n"/>
      <c r="L36" s="13">
        <f>IF($K36="","",$B$16+SUMIFS(Movimientos!$F$2:$F$501,Movimientos!$D$2:$D$501,Movimientos!$J$14,Movimientos!$A$2:$A$501,"&lt;="&amp;$K36)+SUMIFS($D$37:$D$96,$A$37:$A$96,"&lt;="&amp;$K36))</f>
        <v/>
      </c>
      <c r="M36" s="56" t="n"/>
      <c r="N36" s="13">
        <f>IF($K36="","",$M36-$L36)</f>
        <v/>
      </c>
    </row>
    <row r="37">
      <c r="A37" s="62" t="n">
        <v>46265</v>
      </c>
      <c r="B37" s="61" t="inlineStr">
        <is>
          <t>Fondo indexado</t>
        </is>
      </c>
      <c r="C37" s="61" t="inlineStr">
        <is>
          <t>Cashback 1% de la tarjeta</t>
        </is>
      </c>
      <c r="D37" s="56" t="n">
        <v>8.83</v>
      </c>
      <c r="F37" s="32" t="inlineStr">
        <is>
          <t>% que te devuelven</t>
        </is>
      </c>
      <c r="G37" s="67" t="n">
        <v>0.01</v>
      </c>
      <c r="K37" s="62" t="n"/>
      <c r="L37" s="13">
        <f>IF($K37="","",$B$16+SUMIFS(Movimientos!$F$2:$F$501,Movimientos!$D$2:$D$501,Movimientos!$J$14,Movimientos!$A$2:$A$501,"&lt;="&amp;$K37)+SUMIFS($D$37:$D$96,$A$37:$A$96,"&lt;="&amp;$K37))</f>
        <v/>
      </c>
      <c r="M37" s="56" t="n"/>
      <c r="N37" s="13">
        <f>IF($K37="","",$M37-$L37)</f>
        <v/>
      </c>
    </row>
    <row r="38">
      <c r="A38" s="62" t="n"/>
      <c r="B38" s="61" t="n"/>
      <c r="C38" s="61" t="n"/>
      <c r="D38" s="56" t="n"/>
      <c r="F38" s="32" t="inlineStr">
        <is>
          <t>Gasto del mes activo</t>
        </is>
      </c>
      <c r="G38" s="49">
        <f>Movimientos!$L$17</f>
        <v/>
      </c>
      <c r="K38" s="62" t="n"/>
      <c r="L38" s="13">
        <f>IF($K38="","",$B$16+SUMIFS(Movimientos!$F$2:$F$501,Movimientos!$D$2:$D$501,Movimientos!$J$14,Movimientos!$A$2:$A$501,"&lt;="&amp;$K38)+SUMIFS($D$37:$D$96,$A$37:$A$96,"&lt;="&amp;$K38))</f>
        <v/>
      </c>
      <c r="M38" s="56" t="n"/>
      <c r="N38" s="13">
        <f>IF($K38="","",$M38-$L38)</f>
        <v/>
      </c>
    </row>
    <row r="39">
      <c r="A39" s="62" t="n"/>
      <c r="B39" s="61" t="n"/>
      <c r="C39" s="61" t="n"/>
      <c r="D39" s="56" t="n"/>
      <c r="F39" s="32" t="inlineStr">
        <is>
          <t>≈ te tocaría</t>
        </is>
      </c>
      <c r="G39" s="49">
        <f>$G$38*$G$37</f>
        <v/>
      </c>
      <c r="K39" s="62" t="n"/>
      <c r="L39" s="13">
        <f>IF($K39="","",$B$16+SUMIFS(Movimientos!$F$2:$F$501,Movimientos!$D$2:$D$501,Movimientos!$J$14,Movimientos!$A$2:$A$501,"&lt;="&amp;$K39)+SUMIFS($D$37:$D$96,$A$37:$A$96,"&lt;="&amp;$K39))</f>
        <v/>
      </c>
      <c r="M39" s="56" t="n"/>
      <c r="N39" s="13">
        <f>IF($K39="","",$M39-$L39)</f>
        <v/>
      </c>
    </row>
    <row r="40">
      <c r="A40" s="62" t="n"/>
      <c r="B40" s="61" t="n"/>
      <c r="C40" s="61" t="n"/>
      <c r="D40" s="56" t="n"/>
      <c r="F40" s="58" t="inlineStr">
        <is>
          <t>Es una estimación para cuadrar. Apunta a la izquierda lo que te llegue de verdad: eso es lo que cuenta.</t>
        </is>
      </c>
      <c r="K40" s="62" t="n"/>
      <c r="L40" s="13">
        <f>IF($K40="","",$B$16+SUMIFS(Movimientos!$F$2:$F$501,Movimientos!$D$2:$D$501,Movimientos!$J$14,Movimientos!$A$2:$A$501,"&lt;="&amp;$K40)+SUMIFS($D$37:$D$96,$A$37:$A$96,"&lt;="&amp;$K40))</f>
        <v/>
      </c>
      <c r="M40" s="56" t="n"/>
      <c r="N40" s="13">
        <f>IF($K40="","",$M40-$L40)</f>
        <v/>
      </c>
    </row>
    <row r="41">
      <c r="A41" s="62" t="n"/>
      <c r="B41" s="61" t="n"/>
      <c r="C41" s="61" t="n"/>
      <c r="D41" s="56" t="n"/>
      <c r="K41" s="62" t="n"/>
      <c r="L41" s="13">
        <f>IF($K41="","",$B$16+SUMIFS(Movimientos!$F$2:$F$501,Movimientos!$D$2:$D$501,Movimientos!$J$14,Movimientos!$A$2:$A$501,"&lt;="&amp;$K41)+SUMIFS($D$37:$D$96,$A$37:$A$96,"&lt;="&amp;$K41))</f>
        <v/>
      </c>
      <c r="M41" s="56" t="n"/>
      <c r="N41" s="13">
        <f>IF($K41="","",$M41-$L41)</f>
        <v/>
      </c>
    </row>
    <row r="42">
      <c r="A42" s="62" t="n"/>
      <c r="B42" s="61" t="n"/>
      <c r="C42" s="61" t="n"/>
      <c r="D42" s="56" t="n"/>
    </row>
    <row r="43">
      <c r="A43" s="62" t="n"/>
      <c r="B43" s="61" t="n"/>
      <c r="C43" s="61" t="n"/>
      <c r="D43" s="56" t="n"/>
    </row>
    <row r="44">
      <c r="A44" s="62" t="n"/>
      <c r="B44" s="61" t="n"/>
      <c r="C44" s="61" t="n"/>
      <c r="D44" s="56" t="n"/>
      <c r="K44" s="16" t="inlineStr">
        <is>
          <t>DE DÓNDE VIENE EL VALOR</t>
        </is>
      </c>
      <c r="L44" s="16" t="inlineStr">
        <is>
          <t>IMPORTE</t>
        </is>
      </c>
    </row>
    <row r="45">
      <c r="A45" s="62" t="n"/>
      <c r="B45" s="61" t="n"/>
      <c r="C45" s="61" t="n"/>
      <c r="D45" s="56" t="n"/>
      <c r="K45" s="12" t="inlineStr">
        <is>
          <t>Aportación inicial</t>
        </is>
      </c>
      <c r="L45" s="13">
        <f>B16</f>
        <v/>
      </c>
    </row>
    <row r="46">
      <c r="A46" s="62" t="n"/>
      <c r="B46" s="61" t="n"/>
      <c r="C46" s="61" t="n"/>
      <c r="D46" s="56" t="n"/>
      <c r="K46" s="12" t="inlineStr">
        <is>
          <t>Aportado del banco</t>
        </is>
      </c>
      <c r="L46" s="13">
        <f>C16</f>
        <v/>
      </c>
    </row>
    <row r="47">
      <c r="A47" s="62" t="n"/>
      <c r="B47" s="61" t="n"/>
      <c r="C47" s="61" t="n"/>
      <c r="D47" s="56" t="n"/>
      <c r="K47" s="12" t="inlineStr">
        <is>
          <t>Aportado gratis</t>
        </is>
      </c>
      <c r="L47" s="13">
        <f>D16</f>
        <v/>
      </c>
    </row>
    <row r="48">
      <c r="A48" s="62" t="n"/>
      <c r="B48" s="61" t="n"/>
      <c r="C48" s="61" t="n"/>
      <c r="D48" s="56" t="n"/>
      <c r="K48" s="12" t="inlineStr">
        <is>
          <t>Generado por el mercado</t>
        </is>
      </c>
      <c r="L48" s="13">
        <f>G16</f>
        <v/>
      </c>
    </row>
    <row r="49">
      <c r="A49" s="62" t="n"/>
      <c r="B49" s="61" t="n"/>
      <c r="C49" s="61" t="n"/>
      <c r="D49" s="56" t="n"/>
    </row>
    <row r="50">
      <c r="A50" s="62" t="n"/>
      <c r="B50" s="61" t="n"/>
      <c r="C50" s="61" t="n"/>
      <c r="D50" s="56" t="n"/>
    </row>
    <row r="51">
      <c r="A51" s="62" t="n"/>
      <c r="B51" s="61" t="n"/>
      <c r="C51" s="61" t="n"/>
      <c r="D51" s="56" t="n"/>
    </row>
    <row r="52">
      <c r="A52" s="62" t="n"/>
      <c r="B52" s="61" t="n"/>
      <c r="C52" s="61" t="n"/>
      <c r="D52" s="56" t="n"/>
    </row>
    <row r="53">
      <c r="A53" s="62" t="n"/>
      <c r="B53" s="61" t="n"/>
      <c r="C53" s="61" t="n"/>
      <c r="D53" s="56" t="n"/>
    </row>
    <row r="54">
      <c r="A54" s="62" t="n"/>
      <c r="B54" s="61" t="n"/>
      <c r="C54" s="61" t="n"/>
      <c r="D54" s="56" t="n"/>
    </row>
    <row r="55">
      <c r="A55" s="62" t="n"/>
      <c r="B55" s="61" t="n"/>
      <c r="C55" s="61" t="n"/>
      <c r="D55" s="56" t="n"/>
    </row>
    <row r="56">
      <c r="A56" s="62" t="n"/>
      <c r="B56" s="61" t="n"/>
      <c r="C56" s="61" t="n"/>
      <c r="D56" s="56" t="n"/>
    </row>
    <row r="57">
      <c r="A57" s="62" t="n"/>
      <c r="B57" s="61" t="n"/>
      <c r="C57" s="61" t="n"/>
      <c r="D57" s="56" t="n"/>
    </row>
    <row r="58">
      <c r="A58" s="62" t="n"/>
      <c r="B58" s="61" t="n"/>
      <c r="C58" s="61" t="n"/>
      <c r="D58" s="56" t="n"/>
    </row>
    <row r="59">
      <c r="A59" s="62" t="n"/>
      <c r="B59" s="61" t="n"/>
      <c r="C59" s="61" t="n"/>
      <c r="D59" s="56" t="n"/>
    </row>
    <row r="60">
      <c r="A60" s="62" t="n"/>
      <c r="B60" s="61" t="n"/>
      <c r="C60" s="61" t="n"/>
      <c r="D60" s="56" t="n"/>
    </row>
    <row r="61">
      <c r="A61" s="62" t="n"/>
      <c r="B61" s="61" t="n"/>
      <c r="C61" s="61" t="n"/>
      <c r="D61" s="56" t="n"/>
    </row>
    <row r="62">
      <c r="A62" s="62" t="n"/>
      <c r="B62" s="61" t="n"/>
      <c r="C62" s="61" t="n"/>
      <c r="D62" s="56" t="n"/>
    </row>
    <row r="63">
      <c r="A63" s="62" t="n"/>
      <c r="B63" s="61" t="n"/>
      <c r="C63" s="61" t="n"/>
      <c r="D63" s="56" t="n"/>
    </row>
    <row r="64">
      <c r="A64" s="62" t="n"/>
      <c r="B64" s="61" t="n"/>
      <c r="C64" s="61" t="n"/>
      <c r="D64" s="56" t="n"/>
    </row>
    <row r="65">
      <c r="A65" s="62" t="n"/>
      <c r="B65" s="61" t="n"/>
      <c r="C65" s="61" t="n"/>
      <c r="D65" s="56" t="n"/>
    </row>
    <row r="66">
      <c r="A66" s="62" t="n"/>
      <c r="B66" s="61" t="n"/>
      <c r="C66" s="61" t="n"/>
      <c r="D66" s="56" t="n"/>
    </row>
    <row r="67">
      <c r="A67" s="62" t="n"/>
      <c r="B67" s="61" t="n"/>
      <c r="C67" s="61" t="n"/>
      <c r="D67" s="56" t="n"/>
    </row>
    <row r="68">
      <c r="A68" s="62" t="n"/>
      <c r="B68" s="61" t="n"/>
      <c r="C68" s="61" t="n"/>
      <c r="D68" s="56" t="n"/>
    </row>
    <row r="69">
      <c r="A69" s="62" t="n"/>
      <c r="B69" s="61" t="n"/>
      <c r="C69" s="61" t="n"/>
      <c r="D69" s="56" t="n"/>
    </row>
    <row r="70">
      <c r="A70" s="62" t="n"/>
      <c r="B70" s="61" t="n"/>
      <c r="C70" s="61" t="n"/>
      <c r="D70" s="56" t="n"/>
    </row>
    <row r="71">
      <c r="A71" s="62" t="n"/>
      <c r="B71" s="61" t="n"/>
      <c r="C71" s="61" t="n"/>
      <c r="D71" s="56" t="n"/>
    </row>
    <row r="72">
      <c r="A72" s="62" t="n"/>
      <c r="B72" s="61" t="n"/>
      <c r="C72" s="61" t="n"/>
      <c r="D72" s="56" t="n"/>
    </row>
    <row r="73">
      <c r="A73" s="62" t="n"/>
      <c r="B73" s="61" t="n"/>
      <c r="C73" s="61" t="n"/>
      <c r="D73" s="56" t="n"/>
    </row>
    <row r="74">
      <c r="A74" s="62" t="n"/>
      <c r="B74" s="61" t="n"/>
      <c r="C74" s="61" t="n"/>
      <c r="D74" s="56" t="n"/>
    </row>
    <row r="75">
      <c r="A75" s="62" t="n"/>
      <c r="B75" s="61" t="n"/>
      <c r="C75" s="61" t="n"/>
      <c r="D75" s="56" t="n"/>
    </row>
    <row r="76">
      <c r="A76" s="62" t="n"/>
      <c r="B76" s="61" t="n"/>
      <c r="C76" s="61" t="n"/>
      <c r="D76" s="56" t="n"/>
    </row>
    <row r="77">
      <c r="A77" s="62" t="n"/>
      <c r="B77" s="61" t="n"/>
      <c r="C77" s="61" t="n"/>
      <c r="D77" s="56" t="n"/>
    </row>
    <row r="78">
      <c r="A78" s="62" t="n"/>
      <c r="B78" s="61" t="n"/>
      <c r="C78" s="61" t="n"/>
      <c r="D78" s="56" t="n"/>
    </row>
    <row r="79">
      <c r="A79" s="62" t="n"/>
      <c r="B79" s="61" t="n"/>
      <c r="C79" s="61" t="n"/>
      <c r="D79" s="56" t="n"/>
    </row>
    <row r="80">
      <c r="A80" s="62" t="n"/>
      <c r="B80" s="61" t="n"/>
      <c r="C80" s="61" t="n"/>
      <c r="D80" s="56" t="n"/>
    </row>
    <row r="81">
      <c r="A81" s="62" t="n"/>
      <c r="B81" s="61" t="n"/>
      <c r="C81" s="61" t="n"/>
      <c r="D81" s="56" t="n"/>
    </row>
    <row r="82">
      <c r="A82" s="62" t="n"/>
      <c r="B82" s="61" t="n"/>
      <c r="C82" s="61" t="n"/>
      <c r="D82" s="56" t="n"/>
    </row>
    <row r="83">
      <c r="A83" s="62" t="n"/>
      <c r="B83" s="61" t="n"/>
      <c r="C83" s="61" t="n"/>
      <c r="D83" s="56" t="n"/>
    </row>
    <row r="84">
      <c r="A84" s="62" t="n"/>
      <c r="B84" s="61" t="n"/>
      <c r="C84" s="61" t="n"/>
      <c r="D84" s="56" t="n"/>
    </row>
    <row r="85">
      <c r="A85" s="62" t="n"/>
      <c r="B85" s="61" t="n"/>
      <c r="C85" s="61" t="n"/>
      <c r="D85" s="56" t="n"/>
    </row>
    <row r="86">
      <c r="A86" s="62" t="n"/>
      <c r="B86" s="61" t="n"/>
      <c r="C86" s="61" t="n"/>
      <c r="D86" s="56" t="n"/>
    </row>
    <row r="87">
      <c r="A87" s="62" t="n"/>
      <c r="B87" s="61" t="n"/>
      <c r="C87" s="61" t="n"/>
      <c r="D87" s="56" t="n"/>
    </row>
    <row r="88">
      <c r="A88" s="62" t="n"/>
      <c r="B88" s="61" t="n"/>
      <c r="C88" s="61" t="n"/>
      <c r="D88" s="56" t="n"/>
    </row>
    <row r="89">
      <c r="A89" s="62" t="n"/>
      <c r="B89" s="61" t="n"/>
      <c r="C89" s="61" t="n"/>
      <c r="D89" s="56" t="n"/>
    </row>
    <row r="90">
      <c r="A90" s="62" t="n"/>
      <c r="B90" s="61" t="n"/>
      <c r="C90" s="61" t="n"/>
      <c r="D90" s="56" t="n"/>
    </row>
    <row r="91">
      <c r="A91" s="62" t="n"/>
      <c r="B91" s="61" t="n"/>
      <c r="C91" s="61" t="n"/>
      <c r="D91" s="56" t="n"/>
    </row>
    <row r="92">
      <c r="A92" s="62" t="n"/>
      <c r="B92" s="61" t="n"/>
      <c r="C92" s="61" t="n"/>
      <c r="D92" s="56" t="n"/>
    </row>
    <row r="93">
      <c r="A93" s="62" t="n"/>
      <c r="B93" s="61" t="n"/>
      <c r="C93" s="61" t="n"/>
      <c r="D93" s="56" t="n"/>
    </row>
    <row r="94">
      <c r="A94" s="62" t="n"/>
      <c r="B94" s="61" t="n"/>
      <c r="C94" s="61" t="n"/>
      <c r="D94" s="56" t="n"/>
    </row>
    <row r="95">
      <c r="A95" s="62" t="n"/>
      <c r="B95" s="61" t="n"/>
      <c r="C95" s="61" t="n"/>
      <c r="D95" s="56" t="n"/>
    </row>
    <row r="96">
      <c r="A96" s="62" t="n"/>
      <c r="B96" s="61" t="n"/>
      <c r="C96" s="61" t="n"/>
      <c r="D96" s="56" t="n"/>
    </row>
    <row r="97">
      <c r="A97" s="30" t="inlineStr">
        <is>
          <t>TOTAL GRATIS</t>
        </is>
      </c>
      <c r="B97" s="30" t="n"/>
      <c r="C97" s="30" t="n"/>
      <c r="D97" s="31">
        <f>SUM(D37:D96)</f>
        <v/>
      </c>
    </row>
  </sheetData>
  <mergeCells count="9">
    <mergeCell ref="A2:I2"/>
    <mergeCell ref="A34:D34"/>
    <mergeCell ref="A35:D35"/>
    <mergeCell ref="A1:I1"/>
    <mergeCell ref="F36:G36"/>
    <mergeCell ref="A3:I3"/>
    <mergeCell ref="K1:N1"/>
    <mergeCell ref="K2:N3"/>
    <mergeCell ref="F40:G41"/>
  </mergeCells>
  <conditionalFormatting sqref="B18">
    <cfRule type="cellIs" priority="1" operator="notEqual" dxfId="6">
      <formula>0</formula>
    </cfRule>
  </conditionalFormatting>
  <conditionalFormatting sqref="B19">
    <cfRule type="cellIs" priority="2" operator="notEqual" dxfId="6">
      <formula>0</formula>
    </cfRule>
  </conditionalFormatting>
  <conditionalFormatting sqref="B27">
    <cfRule type="cellIs" priority="3" operator="lessThan" dxfId="2">
      <formula>0</formula>
    </cfRule>
  </conditionalFormatting>
  <conditionalFormatting sqref="B28">
    <cfRule type="cellIs" priority="4" operator="lessThan" dxfId="2">
      <formula>0</formula>
    </cfRule>
  </conditionalFormatting>
  <conditionalFormatting sqref="N6:N41">
    <cfRule type="expression" priority="5" dxfId="2">
      <formula>AND($K6&lt;&gt;"",$N6&lt;0)</formula>
    </cfRule>
    <cfRule type="expression" priority="6" dxfId="4">
      <formula>AND($K6&lt;&gt;"",$N6&gt;0)</formula>
    </cfRule>
  </conditionalFormatting>
  <dataValidations count="1">
    <dataValidation sqref="B37:B96" showDropDown="0" showInputMessage="0" showErrorMessage="1" allowBlank="1" errorTitle="Activo no válido" error="Escríbelo primero en A6:A15." type="list" errorStyle="warning">
      <formula1>$A$6:$A$15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2026-08-17T12:42:53Z</dcterms:created>
  <dcterms:modified xsi:type="dcterms:W3CDTF">2026-08-17T12:42:54Z</dcterms:modified>
</cp:coreProperties>
</file>